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BAF7442-A5EC-442F-828E-71AD1D78055D}" xr6:coauthVersionLast="47" xr6:coauthVersionMax="47" xr10:uidLastSave="{00000000-0000-0000-0000-000000000000}"/>
  <bookViews>
    <workbookView xWindow="38290" yWindow="-7110" windowWidth="38620" windowHeight="21100" xr2:uid="{00000000-000D-0000-FFFF-FFFF00000000}"/>
  </bookViews>
  <sheets>
    <sheet name="Form responses 1" sheetId="1" r:id="rId1"/>
    <sheet name="Repeat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7" i="1"/>
  <c r="B9" i="1"/>
  <c r="B11" i="1"/>
  <c r="B13" i="1"/>
  <c r="B15" i="1"/>
  <c r="B17" i="1"/>
  <c r="B19" i="1"/>
  <c r="B21" i="1"/>
  <c r="B23" i="1"/>
  <c r="B25" i="1"/>
  <c r="B27" i="1"/>
  <c r="B29" i="1"/>
  <c r="B31" i="1"/>
  <c r="B33" i="1"/>
  <c r="B35" i="1"/>
  <c r="B37" i="1"/>
  <c r="B39" i="1"/>
  <c r="B41" i="1"/>
  <c r="B43" i="1"/>
  <c r="B45" i="1"/>
  <c r="B47" i="1"/>
  <c r="B49" i="1"/>
  <c r="B51" i="1"/>
  <c r="B53" i="1"/>
  <c r="B55" i="1"/>
  <c r="B57" i="1"/>
  <c r="B59" i="1"/>
  <c r="B61" i="1"/>
  <c r="B63" i="1"/>
  <c r="B65" i="1"/>
  <c r="B67" i="1"/>
  <c r="B69" i="1"/>
  <c r="B71" i="1"/>
  <c r="B3" i="1"/>
  <c r="C3" i="1"/>
  <c r="C71" i="1"/>
  <c r="C69" i="1"/>
  <c r="C67" i="1"/>
  <c r="C65" i="1"/>
  <c r="C63" i="1"/>
  <c r="C61" i="1"/>
  <c r="C59" i="1"/>
  <c r="C57" i="1"/>
  <c r="C55" i="1"/>
  <c r="C53" i="1"/>
  <c r="C51" i="1"/>
  <c r="C49" i="1"/>
  <c r="C47" i="1"/>
  <c r="C45" i="1"/>
  <c r="C43" i="1"/>
  <c r="C41" i="1"/>
  <c r="C39" i="1"/>
  <c r="C37" i="1"/>
  <c r="C35" i="1"/>
  <c r="C33" i="1"/>
  <c r="C31" i="1"/>
  <c r="C29" i="1"/>
  <c r="C27" i="1"/>
  <c r="C25" i="1"/>
  <c r="C23" i="1"/>
  <c r="C21" i="1"/>
  <c r="C19" i="1"/>
  <c r="C17" i="1"/>
  <c r="C15" i="1"/>
  <c r="C13" i="1"/>
  <c r="C11" i="1"/>
  <c r="C9" i="1"/>
  <c r="C7" i="1"/>
  <c r="C5" i="1"/>
</calcChain>
</file>

<file path=xl/sharedStrings.xml><?xml version="1.0" encoding="utf-8"?>
<sst xmlns="http://schemas.openxmlformats.org/spreadsheetml/2006/main" count="520" uniqueCount="377">
  <si>
    <t>Timestamp</t>
  </si>
  <si>
    <t>1. Student ID</t>
  </si>
  <si>
    <t>2. List the WGS84 parameters found using ! proj -le</t>
  </si>
  <si>
    <t>3. List the Everest 1830 / Indian Datum 1975 parameters found using ! proj -le</t>
  </si>
  <si>
    <t>4. Meridian radius of curvature at 30° latitude (WGS84) in meters</t>
  </si>
  <si>
    <t>5. Meridian radius of curvature at 60° latitude (WGS84) in meters</t>
  </si>
  <si>
    <t>6. Prime vertical radius of curvature at 30° latitude (WGS84) in meters</t>
  </si>
  <si>
    <t>7. Prime vertical radius of curvature at 60° latitude (WGS84) in meters</t>
  </si>
  <si>
    <t>8. What is the reciprocal flattening value if the Earth is represented as a perfect sphere?</t>
  </si>
  <si>
    <t>9. Upload your compiled Colab notebook file</t>
  </si>
  <si>
    <t>10. Distance from Airport A to B calculated on a sphere (R=6371 km) in meters</t>
  </si>
  <si>
    <t>11. Distance from Airport A to B calculated on WGS84 ellipsoid in meters</t>
  </si>
  <si>
    <t>12. Initial azimuth from Airport A to B (WGS84) in decimal degrees</t>
  </si>
  <si>
    <t>13. Final azimuth at Airport B (WGS84) in decimal degrees</t>
  </si>
  <si>
    <t>Column 14</t>
  </si>
  <si>
    <t>a = 6,378,137.0 m , rf = 298.257223563</t>
  </si>
  <si>
    <t>a = 6,377,276.345 m , rf = 300.8017</t>
  </si>
  <si>
    <t>6,351,377.1037 m</t>
  </si>
  <si>
    <t>6,383,453.8572 m</t>
  </si>
  <si>
    <t>6,383,480.9177 m</t>
  </si>
  <si>
    <t>6,394,209.1738 m</t>
  </si>
  <si>
    <t>อนันต เพราะทรงกลมมี a = b ทำให้ f = 0 และ 1/f หาค่าไม่ได้</t>
  </si>
  <si>
    <t>https://drive.google.com/open?id=1EIEcgVDjJTMHBxg5NLcB7hZ-9tQi5G_L</t>
  </si>
  <si>
    <t>7,435,884.772 m</t>
  </si>
  <si>
    <t>308.082558008°</t>
  </si>
  <si>
    <t>266.676976068°</t>
  </si>
  <si>
    <t>Option 1</t>
  </si>
  <si>
    <t>WGS84 a=6378137.0      rf=298.257223563 WGS 84</t>
  </si>
  <si>
    <t>evrst30 a=6377276.345    rf=300.8017      Everest 1830</t>
  </si>
  <si>
    <t>6351377.104 m</t>
  </si>
  <si>
    <t>6383453.857 m</t>
  </si>
  <si>
    <t>6383480.918 m</t>
  </si>
  <si>
    <t>6394209.174 m</t>
  </si>
  <si>
    <t>ทรงกลมที่สมบูรณ์แบบมีการแบนเป็นศูนย์(f=0) ดังนั้นการแบนซึ่งกันและกันจึงไม่มีที่สิ้นสุด</t>
  </si>
  <si>
    <t>https://drive.google.com/open?id=1Yw-2DUawi22xPPQfpuEyi-yT2FoxiGax</t>
  </si>
  <si>
    <t>10467863.783 m</t>
  </si>
  <si>
    <t>10478484.696 m</t>
  </si>
  <si>
    <t>-48.165124242°</t>
  </si>
  <si>
    <t>-104.453764718°</t>
  </si>
  <si>
    <t>infinity</t>
  </si>
  <si>
    <t>https://drive.google.com/open?id=1Xa9ytIJRbPrX51asfdfefG2uItnofmJB</t>
  </si>
  <si>
    <t>ระยะทางจากสนามบิน A ถึง B คํานวณจากทรงกลม(R=6371 กม.) = 7009919.334 m</t>
  </si>
  <si>
    <t>ระยะทางจากสนามบิน A ถึง B คํานวณจากวงรี WGS84  = 7019833.053 m</t>
  </si>
  <si>
    <t>ราบเริ่มต้นจากสนามบิน A ถึง B(WGS84) เป็นองศา = -53.008722602°</t>
  </si>
  <si>
    <t>ราบสุดท้ายที่สนามบิน B(WGS84) เป็นองศา = -93.704168010°</t>
  </si>
  <si>
    <t>evrst30 a=6377276.345    rf=300.8017      Everest 1830   evrst48 a=6377304.063    rf=300.8017      Everest 1948   evrst56 a=6377301.243    rf=300.8017      Everest 1956   evrst69 a=6377295.664    rf=300.8017      Everest 1969   evrstSS a=6377298.556    rf=300.8017      Everest (Sabah &amp; Sarawak)</t>
  </si>
  <si>
    <t>M ที่ละติจูด 30 องศา = 6351377.104</t>
  </si>
  <si>
    <t>M ที่ละติจูด 60 องศา = 6383453.857</t>
  </si>
  <si>
    <t>M ที่ละติจูด 30 องศา = 6383480.918</t>
  </si>
  <si>
    <t>M ที่ละติจูด 60 องศา = 6394209.174</t>
  </si>
  <si>
    <t>รูปทรงกลมจะมีค่า Reciprocal Flattening (1/f) เป็น 'อนันต์ (Infinity)' หรือ 'หาค่าไม่ได้ (Undefined)' เนื่องจากรูปทรงกลมมีค่าความแบน f = 0</t>
  </si>
  <si>
    <t>https://drive.google.com/open?id=1KBmZ5-zOKg3IAeIGd18MDHDDd-8H2QP8</t>
  </si>
  <si>
    <t>ระยะทางบนทรงกลม R=6371km = 9580887.366 เมตร</t>
  </si>
  <si>
    <t>ระยะทางบนทรงรี WGS84 = 9587222.238 เมตร</t>
  </si>
  <si>
    <t>ทิศทางขณะขึ้นบิน (Departure) = 322.253909289 องศา</t>
  </si>
  <si>
    <t>ทิศทางเมื่อถึงปลายทาง (Arrival) = 261.585142185 องศา</t>
  </si>
  <si>
    <t>a=6378137.0      rf=298.257223563</t>
  </si>
  <si>
    <t>a=6377276.345    rf=300.8017</t>
  </si>
  <si>
    <t>https://drive.google.com/open?id=1XycOGnO9siZNejenP6ggCt_qgL4DqG8O</t>
  </si>
  <si>
    <t>WGS84 a=6378137.0 rf=298.257223563 WGS 84</t>
  </si>
  <si>
    <t>a=6377276.345 rf=300.8017</t>
  </si>
  <si>
    <t>6,383,453.857 meters.</t>
  </si>
  <si>
    <t>6,383,480.918 meters.</t>
  </si>
  <si>
    <t>6,394,209.174 meters.</t>
  </si>
  <si>
    <t>the Earth is represented as a perfect sphere, its flattening (f) is 0. Therefore, the reciprocal flattening (1/f) is undefined, as you cannot divide by zero.</t>
  </si>
  <si>
    <t>https://drive.google.com/open?id=1vcJhL3lzBEUgomDik30OWThdd2GzVYkL</t>
  </si>
  <si>
    <t>The initial azimuth from Airport A to B (WGS84) is 319.4021 degrees, and the final azimuth at Airport B (WGS84) is 259.4180 degrees.</t>
  </si>
  <si>
    <t>9,992,846.322 meters.</t>
  </si>
  <si>
    <t>WGS84 a=6378137.0 rf=298.257223563 WGS</t>
  </si>
  <si>
    <t>evrst30 a=6377276.345 rf=300.80017 ไม่มีข้อมูลของ Indian Datum 1975</t>
  </si>
  <si>
    <t>6,351,377,103.716 mm</t>
  </si>
  <si>
    <t>6,383,453,857.229 mm</t>
  </si>
  <si>
    <t>6,383,480,917.690 mm</t>
  </si>
  <si>
    <t>6,394,209,173.848 mm</t>
  </si>
  <si>
    <t>f=0 1/f undefined</t>
  </si>
  <si>
    <t>https://drive.google.com/open?id=1cFtsOb8eetuQU438yV2H_F8gg1DAmI2e</t>
  </si>
  <si>
    <t>7,768,060,000 mm</t>
  </si>
  <si>
    <t>7,771,995,000 mm</t>
  </si>
  <si>
    <t>-48.999 degrees</t>
  </si>
  <si>
    <t>-83.113 degrees</t>
  </si>
  <si>
    <t>Meridian radius of curvature at 30° latitude (WGS84): 6351377.104 meters</t>
  </si>
  <si>
    <t>Meridian radius of curvature at 60° latitude (WGS84): 6383453.857 meters</t>
  </si>
  <si>
    <t>Prime vertical radius of curvature at 30° latitude (WGS84): 6383480.918 meters</t>
  </si>
  <si>
    <t>Prime vertical radius of curvature at 60° latitude (WGS84): 6394209.174 meters</t>
  </si>
  <si>
    <t>For an Earth's ellipsoid with a reciprocal flattening of approximately 1/300, its reciprocal flattening is 300. This describes an oblate spheroid.  For a perfect sphere, the flattening is 0. Its reciprocal flattening is therefore considered infinite. In Python, representing infinity can be done using 'float('inf')'. Reciprocal flattening of a perfect sphere: inf</t>
  </si>
  <si>
    <t>https://drive.google.com/open?id=1zP20yX8QbPAep_XF1wsFzoXQj-r-tKWH</t>
  </si>
  <si>
    <t>Distance from Samui (A) to Munich (B): 9089074.906 meters</t>
  </si>
  <si>
    <t>Distance from Samui (A) to Munich (B): 9085829.645 meters</t>
  </si>
  <si>
    <t>Initial Azimuth from A to B: 317.758848°</t>
  </si>
  <si>
    <t>Final Azimuth at Airport B: 264.768574°</t>
  </si>
  <si>
    <t>WGS84  a=6378137.0      rf=298.257223563</t>
  </si>
  <si>
    <t>evrst30 a=6377276.345    rf=300.8017</t>
  </si>
  <si>
    <t>6351377.103715514 เมตร</t>
  </si>
  <si>
    <t>6383453.857229077 เมตร</t>
  </si>
  <si>
    <t>6383480.9176901085 เมตร</t>
  </si>
  <si>
    <t>6394209.173847894 เมตร</t>
  </si>
  <si>
    <t>https://drive.google.com/open?id=1n0HdwQGhOLtwCS7t_t9EeJgxBG327n0k</t>
  </si>
  <si>
    <t>ระยะทางบนทรงกลม: 29546.956 เมตร</t>
  </si>
  <si>
    <t>ระยะทางบนทรงรี WGS84: 29449.372 เมตร</t>
  </si>
  <si>
    <t>309.544692627 องศา</t>
  </si>
  <si>
    <t>256.229740965 องศา</t>
  </si>
  <si>
    <t>a=6378137.0 and rf=298.257223563</t>
  </si>
  <si>
    <t>Infinity</t>
  </si>
  <si>
    <t>https://drive.google.com/open?id=1gHj9B0ugcwAdiGtJoek0Quu4393YyHv4</t>
  </si>
  <si>
    <t>ชื่อทรงรี: WGS84 a  (Semi-major axis) : 6378137.0 เมตร b  (Semi-minor axis) : 6356752.314245179 เมตร rf (Reciprocal of flattening) : 298.25722356299997 f  (Flattening) : 0.003352810664747481</t>
  </si>
  <si>
    <t>รัศมีความโค้งในแนวเมอริเดียน (M) ที่ละติจูด 30° คือ: 6,351,377.104 เมตร</t>
  </si>
  <si>
    <t>รัศมีความโค้งในแนวเมอริเดียน (M) ที่ละติจูด 60° คือ: 6,383,453.857 เมตร</t>
  </si>
  <si>
    <t>รัศมีความโค้งในแนว Prime Vertical (N) ที่ละติจูด 30° คือ: 6,383,480.918 เมตร</t>
  </si>
  <si>
    <t>รัศมีความโค้งในแนว Prime Vertical (N) ที่ละติจูด 60° คือ: 6,394,209.174 เมตร</t>
  </si>
  <si>
    <t>6,394,209.174 เมตร</t>
  </si>
  <si>
    <t>https://drive.google.com/open?id=1OfMgdNDyHy8jqFtxlYIhmHJFtCTaU2QA</t>
  </si>
  <si>
    <t>Distance: 596,800.476 meters</t>
  </si>
  <si>
    <t>Distance on WGS84 Ellipsoid: 594,316.447 meters</t>
  </si>
  <si>
    <t>Distance on Spherical Earth (R=6371 km) : 9,096.59 km Distance on Ellipsoidal Earth (WGS84)   : 9,108.05 km Difference (WGS84 - Sphere)             : 11.46 km</t>
  </si>
  <si>
    <t>Take-off Heading from Khon Kaen Airport : 322.290° Landing Heading at AAmsterdam Airport Schiphol     : 253.617°</t>
  </si>
  <si>
    <t>พารามิเตอร์ 'a' สำหรับ WGS84: 6378137.0 พารามิเตอร์ 'rf' สำหรับ WGS84: 298.257223563</t>
  </si>
  <si>
    <t>พารามิเตอร์สำหรับ Everest 1830: evrst30 a=6377276.345    rf=300.8017      Everest 1830</t>
  </si>
  <si>
    <t>รัศมีความโค้งในแนวเมอริเดียนที่ละติจูด 30° คือ: 6,351,377.10 เมตร</t>
  </si>
  <si>
    <t>print(f"รัศมีความโค้งในแนวเมอริเดียนที่ละติจูด {latitude_deg}° คือ: {M:,.2f} เมตร")</t>
  </si>
  <si>
    <t>รัศมีความโค้งในแนว prime vertical ที่ละติจูด 30° คือ: 6,383,480.92 เมตร</t>
  </si>
  <si>
    <t>รัศมีความโค้งในแนว prime vertical ที่ละติจูด 60° คือ: 6,394,209.17 เมตร</t>
  </si>
  <si>
    <t>ค่าความแบน (f) ของทรงกลม = 0.0 ค่าส่วนกลับความแบน (Reciprocal Flattening) ของรูปทรงกลมโลก คือ: inf</t>
  </si>
  <si>
    <t>ระยะทางบนทรงกลมโลกจาก A ไป B คือ: 582,458.859 เมตร</t>
  </si>
  <si>
    <t>ระยะทางบนทรงรีโลกจาก A ไป B คือ: 579,838.955 เมตร</t>
  </si>
  <si>
    <t>Distance on Spherical Earth (R=6371 km) : 7,513.84 km Distance on Ellipsoidal Earth (WGS84)   : 7,521.10 km Difference (WGS84 - Sphere)             : 7.26 km</t>
  </si>
  <si>
    <t>Take-off Heading from Suvarnabhumi Airport : 309.347° Landing Heading at Istanbul Airport     : 271.249°</t>
  </si>
  <si>
    <t>everst30 a=6377276.345 rf=300.8017 ไม่มีข้อมูล</t>
  </si>
  <si>
    <t>6,344,270,000.047  mm</t>
  </si>
  <si>
    <t>6,376,337,000.938 mm</t>
  </si>
  <si>
    <t>6,387,054,000.189 mm</t>
  </si>
  <si>
    <t>f=0 |1/f undefined</t>
  </si>
  <si>
    <t>https://drive.google.com/open?id=1lr4nTGA3GWh_Xk1lCR85thJkpwqJL_9r</t>
  </si>
  <si>
    <t>9,083,400,000.950 mm</t>
  </si>
  <si>
    <t>9,084,398,000.089 mm</t>
  </si>
  <si>
    <t>311.1756 degrees</t>
  </si>
  <si>
    <t>86.5197 degrees</t>
  </si>
  <si>
    <t>WGS84 a=6378137.0  rf=298.257223563</t>
  </si>
  <si>
    <t>evrst30 a=6377276.345  rf=300.8017</t>
  </si>
  <si>
    <t>6351377.104 meters</t>
  </si>
  <si>
    <t>6383453.857 meters</t>
  </si>
  <si>
    <t>6383480.918 meters</t>
  </si>
  <si>
    <t>6394209.174 meters</t>
  </si>
  <si>
    <t>f=0,  1/f=(undefined)</t>
  </si>
  <si>
    <t>https://drive.google.com/open?id=12XjGNUN5Q2GGZM0CZuSfgNy6WUECo4y2</t>
  </si>
  <si>
    <t>8447620 meters</t>
  </si>
  <si>
    <t>8459251 meters</t>
  </si>
  <si>
    <t>318.479 degrees</t>
  </si>
  <si>
    <t>257.301 degrees</t>
  </si>
  <si>
    <t>a= 6378137.0 rf= 298.257223563</t>
  </si>
  <si>
    <t>a= 6377276.345 rf= 300.8017</t>
  </si>
  <si>
    <t>638453.857 m</t>
  </si>
  <si>
    <t>หากกำหนดให้โลกเป็นทรงกลมสมบูรณ์ รัศมีบริเวณเส้นศูนย์สูตรและรัศมีบริเวณขั้วโลกจะมีค่าเท่ากัน ทำให้ค่า Flattening เท่ากับ 0 ดังนั้นค่า Reciprocal Flattening (1/f) จึงมีค่าเป็นอนันต์ (∞) เนื่องจากไม่สามารถหารด้วยศูนย์ได้</t>
  </si>
  <si>
    <t>https://drive.google.com/open?id=1ZVvCWrc_x36cuSMElrlNwlvtp76QNuky</t>
  </si>
  <si>
    <t>6479111.638 m</t>
  </si>
  <si>
    <t>6484165.015 m</t>
  </si>
  <si>
    <t>324.213110457°</t>
  </si>
  <si>
    <t>281.362780430°</t>
  </si>
  <si>
    <t>https://drive.google.com/open?id=1Y4UNH6cg1Ia5yNfoZGGmrWGyen6PLxW9</t>
  </si>
  <si>
    <t>9,599,702.17 meters</t>
  </si>
  <si>
    <t>ake-off Heading from Udon Thani Airport : 312.292°</t>
  </si>
  <si>
    <t>Landing Heading at Josep Tarradellas Airport     : 249.987°</t>
  </si>
  <si>
    <t>Reciprocal Flattening (1/f) จะเท่ากับ Infinity เพราะ f เท่ากับ 0</t>
  </si>
  <si>
    <t>https://drive.google.com/open?id=1kDeljQ4ti0W7D2qJANajZ-LV3ndku771</t>
  </si>
  <si>
    <t>WGS84 a=6378137.0      rf=298.257223563</t>
  </si>
  <si>
    <t>351377103.716 mm</t>
  </si>
  <si>
    <t>6383453857.229 mm</t>
  </si>
  <si>
    <t>6383480917.690 mm</t>
  </si>
  <si>
    <t>6394209173.848 mm</t>
  </si>
  <si>
    <t>1/f = (Undefined) or f=0</t>
  </si>
  <si>
    <t>-33.943°</t>
  </si>
  <si>
    <t>-75.341°</t>
  </si>
  <si>
    <t>Semi-major axis (a): 6378137.0 meters, Flattening (f): 0.0033528106647474805</t>
  </si>
  <si>
    <t>Everest 1830 Semi-major axis (a): 6377276.345 meters, Everest 1830 Flattening (f): 0.003324449296662885</t>
  </si>
  <si>
    <t>6351377.104 เมตร</t>
  </si>
  <si>
    <t>6383453.857 เมตร</t>
  </si>
  <si>
    <t>6383480.918 เมตร</t>
  </si>
  <si>
    <t>6394209.174 เมตร</t>
  </si>
  <si>
    <t>considered to be infinity</t>
  </si>
  <si>
    <t>https://drive.google.com/open?id=16cnDrWu0OGLhuVYSZy-wGqdLvl2UgGMz</t>
  </si>
  <si>
    <t>10411913.120 เมตร</t>
  </si>
  <si>
    <t>10422432.422 เมตร</t>
  </si>
  <si>
    <t>-48.290243180 องศา</t>
  </si>
  <si>
    <t>75.978843717 องศา</t>
  </si>
  <si>
    <t>ID : WGS84  Semi-major axis (a) : 6378137.0 meters  Reverse flattening (rf) : 298.257223563  Description : WGS 84</t>
  </si>
  <si>
    <t>everest' parameters not found in the PROJ database.</t>
  </si>
  <si>
    <t>6,351,377.104 meters</t>
  </si>
  <si>
    <t>6,383,453.857 meters</t>
  </si>
  <si>
    <t>6,383,480.918 meters</t>
  </si>
  <si>
    <t>6,394,209.174 meters</t>
  </si>
  <si>
    <t>The reciprocal flattening of a perfect sphere is INFINITY.</t>
  </si>
  <si>
    <t>https://drive.google.com/open?id=12UNLfDe7A11fz4459XnTQpLBSfSDFuox</t>
  </si>
  <si>
    <t>3,620.265 meters</t>
  </si>
  <si>
    <t>7,973,760.730 meters</t>
  </si>
  <si>
    <t>311.169922707 degrees</t>
  </si>
  <si>
    <t>276.840565530 degrees</t>
  </si>
  <si>
    <t>evrst30 a=6377276.345    rf=300.8017      Everest 1830| Indian Datum 1975 ไม่มีข้อมูล</t>
  </si>
  <si>
    <t>ค่าความแบน (f) = 0 | 1/f undefined</t>
  </si>
  <si>
    <t>https://drive.google.com/open?id=13ZNI6tpNkiS-h-0pIVC4RJzve_zUBmxn</t>
  </si>
  <si>
    <t>7,489,533.466 meters</t>
  </si>
  <si>
    <t>7,498,547.431 meters</t>
  </si>
  <si>
    <t>308.464955958°</t>
  </si>
  <si>
    <t>267.564991730°</t>
  </si>
  <si>
    <t>https://drive.google.com/open?id=1hWL1dx-v_qzRbFN2weHvkSYihPaM_0-q</t>
  </si>
  <si>
    <t>-40.611°</t>
  </si>
  <si>
    <t>-100.629°</t>
  </si>
  <si>
    <t>WGS84 a=6378137.0 , rf=298.257223563 WGS 84</t>
  </si>
  <si>
    <t>https://drive.google.com/open?id=1RKAQpzsogKgbmUGMKlBxwJzE8V9Q0CrN</t>
  </si>
  <si>
    <t>Semi-major axis (a): 6378137.0/Inverse flattening (rf): 298.257223563</t>
  </si>
  <si>
    <t>Semi-major axis (a): 6377276.345/Inverse flattening (rf): 300.8017</t>
  </si>
  <si>
    <t>https://drive.google.com/open?id=1bFQdxw_prGLUGGEFFxDEdhZVlepKWxjD</t>
  </si>
  <si>
    <t>10,447,836.304 meters</t>
  </si>
  <si>
    <t>10,459,286.079 meters</t>
  </si>
  <si>
    <t>312.1320 degrees</t>
  </si>
  <si>
    <t>253.7583 degrees</t>
  </si>
  <si>
    <t>The major axis (a) is 6378137.0 and the reverse flattening (rf) is 298.257223563.</t>
  </si>
  <si>
    <t>a (Major axis): 6377276.345 and rf (Reverse flattening): 300.8017</t>
  </si>
  <si>
    <t>The meridian radius of curvature for the WGS84 ellipsoid at 30° latitude is 6,351,377.104 meters.</t>
  </si>
  <si>
    <t>The meridian radius of curvature for the WGS84 ellipsoid at 60° latitude is 6,383,453.857 meters.</t>
  </si>
  <si>
    <t>Undefined, a perfect sphere doesn't have a finite reciprocal flattening value.</t>
  </si>
  <si>
    <t>https://drive.google.com/open?id=1KGqq-OdvLGGEUqcPiiGj5travQbwm08V</t>
  </si>
  <si>
    <t>9,748,292.32 meters</t>
  </si>
  <si>
    <t>9,756,865.64 meters</t>
  </si>
  <si>
    <t>319.33 degrees</t>
  </si>
  <si>
    <t>77.97 degrees</t>
  </si>
  <si>
    <t>a = 6378137.0 1/f = 298.257223563</t>
  </si>
  <si>
    <t>evrst30  Everest 1830 a = 6377276.345 m 1/f = 300.8017 Datum: Indian 1975</t>
  </si>
  <si>
    <t>https://drive.google.com/open?id=1tM8MpDhcc19Xk0n_vbvCFv_2Pdnx3lB9</t>
  </si>
  <si>
    <t>-37.8229 องศา</t>
  </si>
  <si>
    <t>-107.3092 องศา</t>
  </si>
  <si>
    <t>evrst30 a=6377276.345 rf=300.8017 | ไม่มีข้อมูลของ Indian Datum 1975</t>
  </si>
  <si>
    <t>6351377.103716 meters</t>
  </si>
  <si>
    <t>6383453.857229 meters</t>
  </si>
  <si>
    <t>6383480.917690 meters</t>
  </si>
  <si>
    <t>6394209.173848 meters</t>
  </si>
  <si>
    <t>f= 0 | 1/f undefined</t>
  </si>
  <si>
    <t>https://drive.google.com/open?id=1U9QYeJFihbZPk6vUhpz7F-S_ddYkXhBy</t>
  </si>
  <si>
    <t>9466211.575 m</t>
  </si>
  <si>
    <t>9477111.433 m</t>
  </si>
  <si>
    <t>319.154952939 degree</t>
  </si>
  <si>
    <t>254.697967971 degree</t>
  </si>
  <si>
    <t>lattening (f): 0.0 Reciprocal Flattening (rf): inf</t>
  </si>
  <si>
    <t>https://drive.google.com/open?id=14do6WycTvxlda9s5toFhzCsmonc87aAk</t>
  </si>
  <si>
    <t>Distance: 28,933.926 meters</t>
  </si>
  <si>
    <t>Distance on WGS84: 28,841.775 meters</t>
  </si>
  <si>
    <t>Distance on Spherical Earth (R=6371 km) : 9,078.74 km Distance on Ellipsoidal Earth (WGS84)   : 9,084.52 km Difference (WGS84 - Sphere)             : 5.78 km</t>
  </si>
  <si>
    <t>Take-off Heading from Phuket International Airport : 317.900° Landing Heading at Munich Airport     : 267.160°</t>
  </si>
  <si>
    <t>ละติจูด 30 องศา:  - รัศมีความโค้งในแนวเมอริเดียน (M): 6,351,377.1037 เมตร  - รัศมีความโค้งในแนว Prime Vertical (N): 6,383,480.9177 เมตร</t>
  </si>
  <si>
    <t>ละติจูด 60 องศา:  - รัศมีความโค้งในแนวเมอริเดียน (M): 6,383,453.8572 เมตร  - รัศมีความโค้งในแนว Prime Vertical (N): 6,394,209.1738 เมตร</t>
  </si>
  <si>
    <t>For a perfect sphere, the flattening (f) is 0. Since reciprocal flattening is defined as 1/f, if f is 0, then the reciprocal flattening would be undefined or, conceptually, infinite.</t>
  </si>
  <si>
    <t>https://drive.google.com/open?id=1JKO-UiKRdV7jfU266TNSE3ix_8eck6-R</t>
  </si>
  <si>
    <t>ระยะทาง A ไป B (ทรงกลมโลก): 8366271.282 เมตร</t>
  </si>
  <si>
    <t>ระยะทาง A ไป B (ทรงรี WGS84): 8378663.902 เมตร</t>
  </si>
  <si>
    <t>ทิศทางขณะขึ้นบินจากสนามบิน A: 309.622583847 องศา</t>
  </si>
  <si>
    <t>ทิศทางเมื่อถึงสนามบินปลายทาง B: 77.742580307 องศา</t>
  </si>
  <si>
    <t>a=6377563.396    rf=299.3249646</t>
  </si>
  <si>
    <t>https://drive.google.com/open?id=1h1ib7Et2QLt4jCHb0euICiSCk09EgeNE</t>
  </si>
  <si>
    <t>9,552,702.617 meters</t>
  </si>
  <si>
    <t>319.8507 decimal degrees</t>
  </si>
  <si>
    <t>264.0134 decimal degrees</t>
  </si>
  <si>
    <t>a=6377276.345    rf=300.8017      Everest 1830</t>
  </si>
  <si>
    <t>https://drive.google.com/open?id=1QDDFkQkRIJrNeYL-sjMiGc2YThXnNE3-</t>
  </si>
  <si>
    <t>9580887.366 meters</t>
  </si>
  <si>
    <t>9587222.238 meters</t>
  </si>
  <si>
    <t>-37.746090711 decimal degrees</t>
  </si>
  <si>
    <t>-98.414857815 decimal degrees</t>
  </si>
  <si>
    <t>evrst30 a=6377276.345    rf=300.8017 | ไม่มีข้อมูลของ  Indian Datum 1975</t>
  </si>
  <si>
    <t>f = 0 | 1/f : undefined</t>
  </si>
  <si>
    <t>https://drive.google.com/open?id=18KtojEe323nJ5m0b7q0pOuJnv_XrHwxE</t>
  </si>
  <si>
    <t>7752067.070822 meters</t>
  </si>
  <si>
    <t>7757045.917519 meters</t>
  </si>
  <si>
    <t>310.5121708 degrees</t>
  </si>
  <si>
    <t>274.9831396 degrees</t>
  </si>
  <si>
    <t>6378137.0 , 298.257223563</t>
  </si>
  <si>
    <t>6377276.345 , 300.8017</t>
  </si>
  <si>
    <t>https://drive.google.com/open?id=1FuxVMk8ynppYAnoGFB6EzkesLdA_4uZR</t>
  </si>
  <si>
    <t>9895.516 KM</t>
  </si>
  <si>
    <t>9904.033 KM</t>
  </si>
  <si>
    <t>322.1640°</t>
  </si>
  <si>
    <t>255.7402°</t>
  </si>
  <si>
    <t>a=6378137 m. , 1/f=298.257223563</t>
  </si>
  <si>
    <t>a=6377276.345 m. , 1/f=300.8017</t>
  </si>
  <si>
    <t>6,351,377.104 m</t>
  </si>
  <si>
    <t>6,383,453.857 m</t>
  </si>
  <si>
    <t>6,383,480.918 m</t>
  </si>
  <si>
    <t>6,394,209.174 m</t>
  </si>
  <si>
    <t>inf</t>
  </si>
  <si>
    <t>https://drive.google.com/open?id=1Hh-4pLupsr6GpUoM7XNW46G_qkv42aHK</t>
  </si>
  <si>
    <t>WGS84 a=6378137.0. rf=298.257223563 WGS 84</t>
  </si>
  <si>
    <t>evrst30 a=6377276.345  rf=300.8017 ไม่มีข้อมูลของ Indian Datum 1975</t>
  </si>
  <si>
    <t>f=0 | 1/f undefined</t>
  </si>
  <si>
    <t>https://drive.google.com/open?id=1kONvrzmZU6wKH29oHW1HrJZ-kQM5hJtW</t>
  </si>
  <si>
    <t>9,668,237,000 mm</t>
  </si>
  <si>
    <t>9,682,136,000 mm</t>
  </si>
  <si>
    <t>-47.706 degrees</t>
  </si>
  <si>
    <t>-109.429 degrees</t>
  </si>
  <si>
    <t>6,351,377.104 เมตร</t>
  </si>
  <si>
    <t>6,383,453.857 เมตร</t>
  </si>
  <si>
    <t>6,383,480.918 เมตร</t>
  </si>
  <si>
    <t>https://drive.google.com/open?id=1rUiUngwtRpFTQFSzV2fiSVOtDwqRGNCA</t>
  </si>
  <si>
    <t>7752067.071 เมตร</t>
  </si>
  <si>
    <t>7757045.918 เมตร</t>
  </si>
  <si>
    <t>310.512170789 decimal degree</t>
  </si>
  <si>
    <t>274.983139642 decimal degree</t>
  </si>
  <si>
    <t>WGS84 a=6378137.0 rf=298.257223563</t>
  </si>
  <si>
    <t>evrst30 a=6377276.345 rf=300.8017</t>
  </si>
  <si>
    <t>1/f =(Undefined) or f=0</t>
  </si>
  <si>
    <t>https://drive.google.com/open?id=1gwnVUnPUf0savbH6nPWCAk-GrP5lYXNi</t>
  </si>
  <si>
    <t>7,768,060 เมตร</t>
  </si>
  <si>
    <t>7,771,995 เมตร</t>
  </si>
  <si>
    <t>WGS84 a=6378137.0 rf = 298.257223563</t>
  </si>
  <si>
    <t>evrsr30 a6377276.345 rf300.8017</t>
  </si>
  <si>
    <t>1/f=(Underfined) or f=1 / wgs84_f_inv</t>
  </si>
  <si>
    <t>https://drive.google.com/open?id=1E1wBef6_1P8WTKm5ZHz4OuKVmmq4a56N</t>
  </si>
  <si>
    <t>https://drive.google.com/open?id=1fYRsMk9Juj5MNikMqCJ1JWKMkvvs0DXY</t>
  </si>
  <si>
    <t>Semi-major axis (a,b),Flattening (f),Inverse flattening (1/f), Eccentricity squared (e^2)</t>
  </si>
  <si>
    <t>Semi-major axis (a): 6377276.345 meters   Semi-minor axis (b): 6356075.41314024 meters   Flattening (f): 0.003324449296662885   Inverse flattening (1/f): 300.8017   Eccentricity squared (e^2): 0.006637846630199688</t>
  </si>
  <si>
    <t>หากโลกถูกแทนด้วยทรงกลมที่สมบูรณ์แบบ ค่าความแบน (flattening, f) จะเป็น 0 ดังนั้น ค่าความแบนผกผัน (reciprocal flattening) ซึ่งคำนวณจาก 1/f จะ ไม่สามารถกำหนดได้ หรือถือเป็น อนันต์</t>
  </si>
  <si>
    <t>https://drive.google.com/open?id=1nOSTrvX8RlSx2VQceSnUIiAu-lk5EvWX</t>
  </si>
  <si>
    <t>ระยะทางคำนวณบนทรงกลม (R=6371 กม.): 10411.91 กิโลเมตร</t>
  </si>
  <si>
    <t>ระยะทางคำนวณบนทรงรีโลก (WGS84): 10422.43 กิโลเมตร</t>
  </si>
  <si>
    <t>-48.29 องศา</t>
  </si>
  <si>
    <t>-70.08 องศา</t>
  </si>
  <si>
    <t>https://drive.google.com/open?id=1V-w53X8NgI6sELu2O1V-waAKT1coY9sK</t>
  </si>
  <si>
    <t>https://drive.google.com/open?id=1cpeFz_9u1IoInJ3RxgVtuRAWT67eO0QD</t>
  </si>
  <si>
    <t>10,459.286 meter.</t>
  </si>
  <si>
    <t>10,459.286 kilometers.</t>
  </si>
  <si>
    <t>312.1320°</t>
  </si>
  <si>
    <t>253.7583°</t>
  </si>
  <si>
    <t>ค่า a เเละ rf</t>
  </si>
  <si>
    <t>a=6377276.345 rf=300.8017 Everest 1830</t>
  </si>
  <si>
    <t>https://drive.google.com/open?id=102YKE-ilCm7N9rlOUfGwWzL41zpBAfB3</t>
  </si>
  <si>
    <t>9577561.206m</t>
  </si>
  <si>
    <t>9588367.428m</t>
  </si>
  <si>
    <t>-37.822938124 องศา</t>
  </si>
  <si>
    <t>-107.309154466 องศา</t>
  </si>
  <si>
    <t>WGS84 a = 6378137.0, rf = 298.257223563</t>
  </si>
  <si>
    <t>https://drive.google.com/open?id=1D2NiMvKasjEUdQMtCcPxB0FuhAq0XfEv</t>
  </si>
  <si>
    <t>-42.770 องศา</t>
  </si>
  <si>
    <t>-101.937 องศา</t>
  </si>
  <si>
    <t>evrst30 a=6377276.345    rf=300.8017      Everest 1830 /</t>
  </si>
  <si>
    <t>ผลลัพธ์โดยใช้ทรงรี WGS84  Semi-major axis (a) = 6371000 เมตร Flattening (f) = 0 Eccentricity squared (e²) = 0 ละติจูด = 30° รัศมีความโค้งในแนวเมอริเดียน (M) = 6371000 เมตร รัศมีความโค้งในแนว Prime Vertical (N) = 6371000 เมตร</t>
  </si>
  <si>
    <t>ผลลัพธ์โดยใช้ทรงรี WGS84  Semi-major axis (a) = 6371000 เมตร Flattening (f) = 0 Eccentricity squared (e²) = 0 ละติจูด = 60° รัศมีความโค้งในแนวเมอริเดียน (M) = 6371000 เมตร รัศมีความโค้งในแนว Prime Vertical (N) = 6371000 เมตร</t>
  </si>
  <si>
    <t>For a perfect sphere, the reciprocal flattening value ($1/f$) is infinite ($\infty$) or undefined, because the flattening ($f$) itself is exactly $0$.</t>
  </si>
  <si>
    <t>https://drive.google.com/open?id=1v-3IH5Wmu9l9nhpmNizlk1ZHHqVAiiHf</t>
  </si>
  <si>
    <t>ทรงกลม: 8366.271 กม.</t>
  </si>
  <si>
    <t>ทรงรี: 8378.664 กม.</t>
  </si>
  <si>
    <t>ทิศขาขึ้น (A): 309.6226°</t>
  </si>
  <si>
    <t>ทิศขาลง (B): 257.7426°</t>
  </si>
  <si>
    <t>https://drive.google.com/open?id=1TWt2pawCx1hr08aWl5J6PXhQeDOWu08R</t>
  </si>
  <si>
    <t>9587222.24 meters</t>
  </si>
  <si>
    <t>https://drive.google.com/open?id=1SpmC_FBtay8nbHO2kvkdz4sMj-Ii_EhG</t>
  </si>
  <si>
    <t>-47.706°</t>
  </si>
  <si>
    <t>-109.429°</t>
  </si>
  <si>
    <t>Airport pair: 42
A: No. 4  VTSS  Hat Yai International Airport
   latitude = 6.933210000°, longitude = 100.392998000°
B: No. 2  LFPG  Paris Charles de Gaulle Airport
   latitude = 49.008960000°, longitude = 2.554117000°
------------------------------------------------------------------------
10. ANSWER Sphere, R = 6,371 km : 9,992,846.322 m
11. ANSWER WGS84 ellipsoid       : 10,000,068.709 m
12. ANSWER Departure azimuth A : 319.402146473° (-40.597853527°)
13. ANSWER Arrival azimuth B   : 259.418049769° (-100.581950231°)</t>
  </si>
  <si>
    <t>Airport pair: 51
A: No. 5  VTSG  Krabi International Airport
   latitude = 8.099120000°, longitude = 98.986198000°
B: No. 1  LTFM  Istanbul Airport
   latitude = 41.274900000°, longitude = 28.732100000°
------------------------------------------------------------------------
10. ANSWER Sphere, R = 6,371 km : 7,768,059.603 m
11. ANSWER WGS84 ellipsoid       : 7,771,994.685 m
12. ANSWER Departure azimuth A : 311.001039000° (-48.998961000°)
13. ANSWER Arrival azimuth B   : 276.886850155° (-83.113149845°)</t>
  </si>
  <si>
    <t>Airport pair: 69
A: No. 6  VTSM  Samui Airport
   latitude = 9.547790000°, longitude = 100.062000000°
B: No. 9  EDDM  Munich Airport
   latitude = 48.353802000°, longitude = 11.786100000°
------------------------------------------------------------------------
10. ANSWER Sphere, R = 6,371 km : 9,089,074.906 m
11. ANSWER WGS84 ellipsoid       : 9,096,007.885 m
12. ANSWER Departure azimuth A : 317.758847512° (-42.241152488°)
13. ANSWER Arrival azimuth B   : 264.768573579° (-95.231426421°)</t>
  </si>
  <si>
    <t>Airport pair: 77
A: No. 7  VTCT  Mae Fah Luang–Chiang Rai International Airport
   latitude = 19.952299000°, longitude = 99.882896000°
B: No. 7  LIRF  Rome Fiumicino “Leonardo da Vinci” Airport
   latitude = 41.800278000°, longitude = 12.238889000°
------------------------------------------------------------------------
10. ANSWER Sphere, R = 6,371 km : 8,356,539.082 m
11. ANSWER WGS84 ellipsoid       : 8,369,564.130 m
12. ANSWER Departure azimuth A : 309.544692626° (-50.455307374°)
13. ANSWER Arrival azimuth B   : 256.229740965° (-103.770259035°)</t>
  </si>
  <si>
    <t>Airport pair: 93
A: No. 9  VTUK  Khon Kaen Airport
   latitude = 16.466600000°, longitude = 102.783997000°
B: No. 3  EHAM  Amsterdam Airport Schiphol
   latitude = 52.308601000°, longitude = 4.763889000°
------------------------------------------------------------------------
10. ANSWER Sphere, R = 6,371 km : 9,096,587.570 m
11. ANSWER WGS84 ellipsoid       : 9,108,047.570 m
12. ANSWER Departure azimuth A : 322.232174778° (-37.767825222°)
13. ANSWER Arrival azimuth B   : 253.512609109° (-106.487390891°)</t>
  </si>
  <si>
    <t>Airport pair: 01
A: No. 0  VTBS  Suvarnabhumi Airport
   latitude = 13.681100000°, longitude = 100.747002000°
B: No. 1  LTFM  Istanbul Airport
   latitude = 41.274900000°, longitude = 28.732100000°
------------------------------------------------------------------------
10. ANSWER Sphere, R = 6,371 km : 7,513,837.727 m
11. ANSWER WGS84 ellipsoid       : 7,521,101.407 m
12. ANSWER Departure azimuth A : 309.255479125° (-50.744520875°)
13. ANSWER Arrival azimuth B   : 271.133271572° (-88.866728428°)</t>
  </si>
  <si>
    <t>Airport pair: 27
A: No. 2  VTSP  Phuket International Airport
   latitude = 8.113200000°, longitude = 98.316902000°
B: No. 7  LIRF  Rome Fiumicino “Leonardo da Vinci” Airport
   latitude = 41.800278000°, longitude = 12.238889000°
------------------------------------------------------------------------
10. ANSWER Sphere, R = 6,371 km : 9,083,400.950 m
11. ANSWER WGS84 ellipsoid       : 9,090,712.764 m
12. ANSWER Departure azimuth A : 311.185100056° (-48.814899944°)
13. ANSWER Arrival azimuth B   : 266.391154539° (-93.608845461°)</t>
  </si>
  <si>
    <t>11. ANSWER WGS84 ellipsoid       : 8,459,250.724 m</t>
  </si>
  <si>
    <t>Airport pair: 86
A: No. 8  VTUD  Udon Thani International Airport
   latitude = 17.386400000°, longitude = 102.788000000°
B: No. 6  LEBL  Josep Tarradellas Barcelona–El Prat Airport
   latitude = 41.297100000°, longitude = 2.078460000°
------------------------------------------------------------------------
10. ANSWER Sphere, R = 6,371 km : 9,599,702.174 m
11. ANSWER WGS84 ellipsoid       : 9,613,974.782 m
12. ANSWER Departure azimuth A : 312.257569585° (-47.742430415°)
13. ANSWER Arrival azimuth B   : 249.890004875° (-110.109995125°)</t>
  </si>
  <si>
    <t>Airport pair: 08
A: No. 0  VTBS  Suvarnabhumi Airport
   latitude = 13.681100000°, longitude = 100.747002000°
B: No. 8  UUEE  Sheremetyevo International Airport
   latitude = 55.972599000°, longitude = 37.414600000°
------------------------------------------------------------------------
10. ANSWER Sphere, R = 6,371 km : 7,104,610.438 m
11. ANSWER WGS84 ellipsoid       : 7,106,470.121 m
12. ANSWER Departure azimuth A : 326.057298315° (-33.942701685°)
13. ANSWER Arrival azimuth B   : 284.659125183° (-75.340874817°)</t>
  </si>
  <si>
    <t>10. ANSWER Sphere, R = 6,371 km : 7,970,140.466 m</t>
  </si>
  <si>
    <t>10. ANSWER Sphere, R = 6,371 km : 9,177,947.467 m</t>
  </si>
  <si>
    <t>Airport pair: 64
A: No. 6  VTSM  Samui Airport
   latitude = 9.547790000°, longitude = 100.062000000°
B: No. 4  LEMD  Adolfo Suárez Madrid–Barajas Airport
   latitude = 40.471926000°, longitude = -3.562640000°
------------------------------------------------------------------------
10. ANSWER Sphere, R = 6,371 km : 10,447,821.920 m
11. ANSWER WGS84 ellipsoid       : 10,459,286.456 m
12. ANSWER Departure azimuth A : 312.131961547° (-47.868038453°)
13. ANSWER Arrival azimuth B   : 253.758333453° (-106.241666547°)</t>
  </si>
  <si>
    <t>Airport pair: 72
A: No. 7  VTCT  Mae Fah Luang–Chiang Rai International Airport
   latitude = 19.952299000°, longitude = 99.882896000°
B: No. 2  LFPG  Paris Charles de Gaulle Airport
   latitude = 49.008960000°, longitude = 2.554117000°
------------------------------------------------------------------------
10. ANSWER Sphere, R = 6,371 km : 8,861,479.242 m
11. ANSWER WGS84 ellipsoid       : 8,875,077.050 m
12. ANSWER Departure azimuth A : 318.555751777° (-41.444248223°)
13. ANSWER Arrival azimuth B   : 251.273538079° (-108.726461921°)</t>
  </si>
  <si>
    <t>Airport pair: 81
A: No. 8  VTUD  Udon Thani International Airport
   latitude = 17.386400000°, longitude = 102.788000000°
B: No. 1  LTFM  Istanbul Airport
   latitude = 41.274900000°, longitude = 28.732100000°
------------------------------------------------------------------------
10. ANSWER Sphere, R = 6,371 km : 7,426,459.978 m
11. ANSWER WGS84 ellipsoid       : 7,435,884.772 m
12. ANSWER Departure azimuth A : 308.082558008° (-51.917441992°)
13. ANSWER Arrival azimuth B   : 266.676976068° (-93.323023932°)</t>
  </si>
  <si>
    <t>Airport pair: 99
A: No. 9  VTUK  Khon Kaen Airport
   latitude = 16.466600000°, longitude = 102.783997000°
B: No. 9  EDDM  Munich Airport
   latitude = 48.353802000°, longitude = 11.786100000°
------------------------------------------------------------------------
10. ANSWER Sphere, R = 6,371 km : 8,720,024.668 m
11. ANSWER WGS84 ellipsoid       : 8,731,030.270 m
12. ANSWER Departure azimuth A : 317.230201832° (-42.769798168°)
13. ANSWER Arrival azimuth B   : 258.063326507° (-101.936673493°)</t>
  </si>
  <si>
    <t>Airport pair: 29
A: No. 2  VTSP  Phuket International Airport
   latitude = 8.113200000°, longitude = 98.316902000°
B: No. 9  EDDM  Munich Airport
   latitude = 48.353802000°, longitude = 11.786100000°
------------------------------------------------------------------------
10. ANSWER Sphere, R = 6,371 km : 9,078,740.990 m
11. ANSWER WGS84 ellipsoid       : 9,084,518.738 m
12. ANSWER Departure azimuth A : 317.812653362° (-42.187346638°)
13. ANSWER Arrival azimuth B   : 267.029282187° (-92.970717813°)</t>
  </si>
  <si>
    <t>Airport pair: 37
A: No. 3  VTCC  Chiang Mai International Airport
   latitude = 18.766800000°, longitude = 98.962601000°
B: No. 7  LIRF  Rome Fiumicino “Leonardo da Vinci” Airport
   latitude = 41.800278000°, longitude = 12.238889000°
------------------------------------------------------------------------
10. ANSWER Sphere, R = 6,371 km : 8,366,275.221 m
11. ANSWER WGS84 ellipsoid       : 8,378,663.902 m
12. ANSWER Departure azimuth A : 309.622583847° (-50.377416153°)
13. ANSWER Arrival azimuth B   : 257.742580307° (-102.257419693°)</t>
  </si>
  <si>
    <t>10. ANSWER Sphere, R = 6,371 km : 9,546,916.877 m</t>
  </si>
  <si>
    <t>Airport pair: 61
A: No. 6  VTSM  Samui Airport
   latitude = 9.547790000°, longitude = 100.062000000°
B: No. 1  LTFM  Istanbul Airport
   latitude = 41.274900000°, longitude = 28.732100000°
------------------------------------------------------------------------
10. ANSWER Sphere, R = 6,371 km : 7,752,067.071 m
11. ANSWER WGS84 ellipsoid       : 7,757,045.918 m
12. ANSWER Departure azimuth A : 310.512170789° (-49.487829211°)
13. ANSWER Arrival azimuth B   : 274.983139642° (-85.016860358°)</t>
  </si>
  <si>
    <t>Airport pair: 70
A: No. 7  VTCT  Mae Fah Luang–Chiang Rai International Airport
   latitude = 19.952299000°, longitude = 99.882896000°
B: No. 0  EGLL  London Heathrow Airport
   latitude = 51.470748000°, longitude = -0.459909000°
------------------------------------------------------------------------
10. ANSWER Sphere, R = 6,371 km : 8,972,013.019 m
11. ANSWER WGS84 ellipsoid       : 8,985,664.628 m
12. ANSWER Departure azimuth A : 321.564678437° (-38.435321563°)
13. ANSWER Arrival azimuth B   : 249.468926769° (-110.531073231°)</t>
  </si>
  <si>
    <t>Airport pair: 96
A: No. 9  VTUK  Khon Kaen Airport
   latitude = 16.466600000°, longitude = 102.783997000°
B: No. 6  LEBL  Josep Tarradellas Barcelona–El Prat Airport
   latitude = 41.297100000°, longitude = 2.078460000°
------------------------------------------------------------------------
10. ANSWER Sphere, R = 6,371 km : 9,668,236.813 m
11. ANSWER WGS84 ellipsoid       : 9,682,136.411 m
12. ANSWER Departure azimuth A : 312.294444888° (-47.705555112°)
13. ANSWER Arrival azimuth B   : 250.570770664° (-109.429229336°)</t>
  </si>
  <si>
    <t>the meridian radius of curvature (M) at 30° latitude for the WGS84 ellipsoid is 6,351,377.104 meters.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</si>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</sst>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m/d/yyyy\ h:mm:ss"/>
  </numFmts>
  <fonts count="13" x14ac:knownFonts="1">
    <font>
      <sz val="10"/>
      <color rgb="FF000000"/>
      <name val="Arial"/>
    </font>
    <font>
      <sz val="10"/>
      <color theme="1"/>
      <name val="Arial"/>
    </font>
    <font>
      <sz val="10"/>
      <color rgb="FF0000FF"/>
      <name val="Roboto"/>
    </font>
    <font>
      <sz val="10"/>
      <color rgb="FF0000FF"/>
      <name val="Roboto"/>
    </font>
    <font>
      <sz val="10"/>
      <name val="Arial"/>
    </font>
    <font>
      <sz val="10"/>
      <name val="Roboto"/>
    </font>
    <font>
      <b/>
      <sz val="10"/>
      <color theme="1"/>
      <name val="Arial"/>
    </font>
    <font>
      <b/>
      <sz val="10"/>
      <color rgb="FF000000"/>
      <name val="Arial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4"/>
      <color rgb="FF0070C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187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87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6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9" fillId="0" borderId="0" xfId="0" applyFont="1"/>
    <xf numFmtId="1" fontId="9" fillId="0" borderId="0" xfId="0" applyNumberFormat="1" applyFont="1"/>
    <xf numFmtId="0" fontId="10" fillId="2" borderId="0" xfId="0" applyFont="1" applyFill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wrapText="1"/>
    </xf>
    <xf numFmtId="0" fontId="6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4"/>
        <color rgb="FF0070C0"/>
        <name val="Arial"/>
        <family val="2"/>
        <scheme val="none"/>
      </font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641583</xdr:colOff>
      <xdr:row>5</xdr:row>
      <xdr:rowOff>172534</xdr:rowOff>
    </xdr:from>
    <xdr:ext cx="3550459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3A64221-CC2C-0F53-2D5D-9DADE0788068}"/>
            </a:ext>
          </a:extLst>
        </xdr:cNvPr>
        <xdr:cNvSpPr/>
      </xdr:nvSpPr>
      <xdr:spPr>
        <a:xfrm rot="19308527">
          <a:off x="6064483" y="1887034"/>
          <a:ext cx="3550459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Repeating...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82">
  <tableColumns count="16">
    <tableColumn id="1" xr3:uid="{00000000-0010-0000-0000-000001000000}" name="Timestamp"/>
    <tableColumn id="16" xr3:uid="{3D9720AC-2691-4F95-ABC0-D2669B74C761}" name="COUNT" dataDxfId="0">
      <calculatedColumnFormula>COUNT(D2:O2)</calculatedColumnFormula>
    </tableColumn>
    <tableColumn id="2" xr3:uid="{00000000-0010-0000-0000-000002000000}" name="1. Student ID" dataDxfId="14"/>
    <tableColumn id="3" xr3:uid="{00000000-0010-0000-0000-000003000000}" name="2. List the WGS84 parameters found using ! proj -le" dataDxfId="13"/>
    <tableColumn id="4" xr3:uid="{00000000-0010-0000-0000-000004000000}" name="3. List the Everest 1830 / Indian Datum 1975 parameters found using ! proj -le" dataDxfId="12"/>
    <tableColumn id="5" xr3:uid="{00000000-0010-0000-0000-000005000000}" name="4. Meridian radius of curvature at 30° latitude (WGS84) in meters" dataDxfId="11"/>
    <tableColumn id="6" xr3:uid="{00000000-0010-0000-0000-000006000000}" name="5. Meridian radius of curvature at 60° latitude (WGS84) in meters" dataDxfId="10"/>
    <tableColumn id="7" xr3:uid="{00000000-0010-0000-0000-000007000000}" name="6. Prime vertical radius of curvature at 30° latitude (WGS84) in meters" dataDxfId="9"/>
    <tableColumn id="8" xr3:uid="{00000000-0010-0000-0000-000008000000}" name="7. Prime vertical radius of curvature at 60° latitude (WGS84) in meters" dataDxfId="8"/>
    <tableColumn id="9" xr3:uid="{00000000-0010-0000-0000-000009000000}" name="8. What is the reciprocal flattening value if the Earth is represented as a perfect sphere?" dataDxfId="7"/>
    <tableColumn id="10" xr3:uid="{00000000-0010-0000-0000-00000A000000}" name="9. Upload your compiled Colab notebook file" dataDxfId="6"/>
    <tableColumn id="11" xr3:uid="{00000000-0010-0000-0000-00000B000000}" name="10. Distance from Airport A to B calculated on a sphere (R=6371 km) in meters" dataDxfId="5"/>
    <tableColumn id="12" xr3:uid="{00000000-0010-0000-0000-00000C000000}" name="11. Distance from Airport A to B calculated on WGS84 ellipsoid in meters" dataDxfId="4"/>
    <tableColumn id="13" xr3:uid="{00000000-0010-0000-0000-00000D000000}" name="12. Initial azimuth from Airport A to B (WGS84) in decimal degrees" dataDxfId="3"/>
    <tableColumn id="14" xr3:uid="{00000000-0010-0000-0000-00000E000000}" name="13. Final azimuth at Airport B (WGS84) in decimal degrees" dataDxfId="2"/>
    <tableColumn id="15" xr3:uid="{00000000-0010-0000-0000-00000F000000}" name="Column 14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2"/>
  <sheetViews>
    <sheetView tabSelected="1" zoomScale="115" zoomScaleNormal="115" workbookViewId="0">
      <selection activeCell="C89" sqref="C89"/>
    </sheetView>
  </sheetViews>
  <sheetFormatPr defaultColWidth="12.609375" defaultRowHeight="17.399999999999999" x14ac:dyDescent="0.55000000000000004"/>
  <cols>
    <col min="1" max="1" width="20.88671875" customWidth="1"/>
    <col min="2" max="2" width="5.77734375" customWidth="1"/>
    <col min="3" max="3" width="20.1640625" style="13" customWidth="1"/>
    <col min="4" max="4" width="14" style="21" customWidth="1"/>
    <col min="5" max="5" width="14.44140625" style="21" customWidth="1"/>
    <col min="6" max="6" width="48.1640625" style="21" customWidth="1"/>
    <col min="7" max="15" width="24" style="21" customWidth="1"/>
    <col min="16" max="16" width="24" customWidth="1"/>
  </cols>
  <sheetData>
    <row r="1" spans="1:16" ht="60.9" customHeight="1" x14ac:dyDescent="0.4">
      <c r="A1" s="6" t="s">
        <v>0</v>
      </c>
      <c r="B1" s="30" t="s">
        <v>376</v>
      </c>
      <c r="C1" s="10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  <c r="P1" s="6" t="s">
        <v>14</v>
      </c>
    </row>
    <row r="2" spans="1:16" ht="20.399999999999999" customHeight="1" x14ac:dyDescent="0.4">
      <c r="A2" s="1">
        <v>46220.872078530097</v>
      </c>
      <c r="B2" s="1"/>
      <c r="C2" s="11">
        <v>6610553181</v>
      </c>
      <c r="D2" s="19" t="s">
        <v>15</v>
      </c>
      <c r="E2" s="20" t="s">
        <v>16</v>
      </c>
      <c r="F2" s="20" t="s">
        <v>17</v>
      </c>
      <c r="G2" s="20" t="s">
        <v>18</v>
      </c>
      <c r="H2" s="19" t="s">
        <v>19</v>
      </c>
      <c r="I2" s="20" t="s">
        <v>20</v>
      </c>
      <c r="J2" s="19" t="s">
        <v>21</v>
      </c>
      <c r="K2" s="21" t="s">
        <v>22</v>
      </c>
      <c r="L2" s="20">
        <v>6371</v>
      </c>
      <c r="M2" s="20" t="s">
        <v>23</v>
      </c>
      <c r="N2" s="20" t="s">
        <v>24</v>
      </c>
      <c r="O2" s="20" t="s">
        <v>25</v>
      </c>
      <c r="P2" s="2" t="s">
        <v>26</v>
      </c>
    </row>
    <row r="3" spans="1:16" ht="20.399999999999999" customHeight="1" x14ac:dyDescent="0.4">
      <c r="A3" s="1"/>
      <c r="B3" s="11">
        <f t="shared" ref="B2:B65" si="0">COUNT(D3:O3)</f>
        <v>12</v>
      </c>
      <c r="C3" s="11">
        <f>SUM(D3:O3)</f>
        <v>11</v>
      </c>
      <c r="D3" s="20">
        <v>1</v>
      </c>
      <c r="E3" s="20">
        <v>1</v>
      </c>
      <c r="F3" s="20">
        <v>1</v>
      </c>
      <c r="G3" s="20">
        <v>1</v>
      </c>
      <c r="H3" s="20">
        <v>1</v>
      </c>
      <c r="I3" s="20">
        <v>1</v>
      </c>
      <c r="J3" s="20">
        <v>1</v>
      </c>
      <c r="K3" s="21">
        <v>1</v>
      </c>
      <c r="L3" s="20">
        <v>0</v>
      </c>
      <c r="M3" s="20">
        <v>1</v>
      </c>
      <c r="N3" s="20">
        <v>1</v>
      </c>
      <c r="O3" s="20">
        <v>1</v>
      </c>
      <c r="P3" s="2"/>
    </row>
    <row r="4" spans="1:16" ht="20.399999999999999" customHeight="1" x14ac:dyDescent="0.4">
      <c r="A4" s="1">
        <v>46216.109230277776</v>
      </c>
      <c r="B4" s="1"/>
      <c r="C4" s="11">
        <v>6610553254</v>
      </c>
      <c r="D4" s="20" t="s">
        <v>27</v>
      </c>
      <c r="E4" s="20" t="s">
        <v>28</v>
      </c>
      <c r="F4" s="20" t="s">
        <v>29</v>
      </c>
      <c r="G4" s="20" t="s">
        <v>30</v>
      </c>
      <c r="H4" s="20" t="s">
        <v>31</v>
      </c>
      <c r="I4" s="20" t="s">
        <v>32</v>
      </c>
      <c r="J4" s="19" t="s">
        <v>33</v>
      </c>
      <c r="K4" s="22" t="s">
        <v>34</v>
      </c>
      <c r="L4" s="20" t="s">
        <v>35</v>
      </c>
      <c r="M4" s="20" t="s">
        <v>36</v>
      </c>
      <c r="N4" s="20" t="s">
        <v>37</v>
      </c>
      <c r="O4" s="20" t="s">
        <v>38</v>
      </c>
      <c r="P4" s="14"/>
    </row>
    <row r="5" spans="1:16" ht="20.399999999999999" customHeight="1" x14ac:dyDescent="0.4">
      <c r="A5" s="1"/>
      <c r="B5" s="11">
        <f t="shared" si="0"/>
        <v>12</v>
      </c>
      <c r="C5" s="11">
        <f>SUM(D5:O5)</f>
        <v>12</v>
      </c>
      <c r="D5" s="20">
        <v>1</v>
      </c>
      <c r="E5" s="20">
        <v>1</v>
      </c>
      <c r="F5" s="20">
        <v>1</v>
      </c>
      <c r="G5" s="20">
        <v>1</v>
      </c>
      <c r="H5" s="20">
        <v>1</v>
      </c>
      <c r="I5" s="20">
        <v>1</v>
      </c>
      <c r="J5" s="20">
        <v>1</v>
      </c>
      <c r="K5" s="22">
        <v>1</v>
      </c>
      <c r="L5" s="20">
        <v>1</v>
      </c>
      <c r="M5" s="20">
        <v>1</v>
      </c>
      <c r="N5" s="20">
        <v>1</v>
      </c>
      <c r="O5" s="20">
        <v>1</v>
      </c>
      <c r="P5" s="2"/>
    </row>
    <row r="6" spans="1:16" ht="20.399999999999999" customHeight="1" x14ac:dyDescent="0.4">
      <c r="A6" s="1">
        <v>46217.462594409721</v>
      </c>
      <c r="B6" s="1"/>
      <c r="C6" s="11">
        <v>6610553271</v>
      </c>
      <c r="D6" s="20" t="s">
        <v>27</v>
      </c>
      <c r="E6" s="20" t="s">
        <v>28</v>
      </c>
      <c r="F6" s="20" t="s">
        <v>29</v>
      </c>
      <c r="G6" s="20" t="s">
        <v>30</v>
      </c>
      <c r="H6" s="20" t="s">
        <v>31</v>
      </c>
      <c r="I6" s="20" t="s">
        <v>32</v>
      </c>
      <c r="J6" s="20" t="s">
        <v>39</v>
      </c>
      <c r="K6" s="22" t="s">
        <v>40</v>
      </c>
      <c r="L6" s="19" t="s">
        <v>41</v>
      </c>
      <c r="M6" s="19" t="s">
        <v>42</v>
      </c>
      <c r="N6" s="20" t="s">
        <v>43</v>
      </c>
      <c r="O6" s="20" t="s">
        <v>44</v>
      </c>
      <c r="P6" s="2" t="s">
        <v>26</v>
      </c>
    </row>
    <row r="7" spans="1:16" ht="20.399999999999999" customHeight="1" x14ac:dyDescent="0.4">
      <c r="A7" s="1"/>
      <c r="B7" s="11">
        <f t="shared" si="0"/>
        <v>12</v>
      </c>
      <c r="C7" s="11">
        <f>SUM(D7:O7)</f>
        <v>12</v>
      </c>
      <c r="D7" s="20">
        <v>1</v>
      </c>
      <c r="E7" s="20">
        <v>1</v>
      </c>
      <c r="F7" s="20">
        <v>1</v>
      </c>
      <c r="G7" s="20">
        <v>1</v>
      </c>
      <c r="H7" s="20">
        <v>1</v>
      </c>
      <c r="I7" s="20">
        <v>1</v>
      </c>
      <c r="J7" s="20">
        <v>1</v>
      </c>
      <c r="K7" s="22">
        <v>1</v>
      </c>
      <c r="L7" s="20">
        <v>1</v>
      </c>
      <c r="M7" s="20">
        <v>1</v>
      </c>
      <c r="N7" s="20">
        <v>1</v>
      </c>
      <c r="O7" s="20">
        <v>1</v>
      </c>
      <c r="P7" s="2"/>
    </row>
    <row r="8" spans="1:16" ht="20.399999999999999" customHeight="1" x14ac:dyDescent="0.4">
      <c r="A8" s="1">
        <v>46209.762161585648</v>
      </c>
      <c r="B8" s="1"/>
      <c r="C8" s="11">
        <v>6610554153</v>
      </c>
      <c r="D8" s="20" t="s">
        <v>27</v>
      </c>
      <c r="E8" s="20" t="s">
        <v>45</v>
      </c>
      <c r="F8" s="20" t="s">
        <v>46</v>
      </c>
      <c r="G8" s="19" t="s">
        <v>47</v>
      </c>
      <c r="H8" s="19" t="s">
        <v>48</v>
      </c>
      <c r="I8" s="19" t="s">
        <v>49</v>
      </c>
      <c r="J8" s="20" t="s">
        <v>50</v>
      </c>
      <c r="K8" s="22" t="s">
        <v>51</v>
      </c>
      <c r="L8" s="19" t="s">
        <v>52</v>
      </c>
      <c r="M8" s="19" t="s">
        <v>53</v>
      </c>
      <c r="N8" s="19" t="s">
        <v>54</v>
      </c>
      <c r="O8" s="19" t="s">
        <v>55</v>
      </c>
      <c r="P8" s="2" t="s">
        <v>26</v>
      </c>
    </row>
    <row r="9" spans="1:16" ht="20.399999999999999" customHeight="1" x14ac:dyDescent="0.4">
      <c r="A9" s="1"/>
      <c r="B9" s="11">
        <f t="shared" si="0"/>
        <v>12</v>
      </c>
      <c r="C9" s="11">
        <f>SUM(D9:O9)</f>
        <v>12</v>
      </c>
      <c r="D9" s="20">
        <v>1</v>
      </c>
      <c r="E9" s="20">
        <v>1</v>
      </c>
      <c r="F9" s="20">
        <v>1</v>
      </c>
      <c r="G9" s="20">
        <v>1</v>
      </c>
      <c r="H9" s="20">
        <v>1</v>
      </c>
      <c r="I9" s="20">
        <v>1</v>
      </c>
      <c r="J9" s="20">
        <v>1</v>
      </c>
      <c r="K9" s="22">
        <v>1</v>
      </c>
      <c r="L9" s="20">
        <v>1</v>
      </c>
      <c r="M9" s="20">
        <v>1</v>
      </c>
      <c r="N9" s="20">
        <v>1</v>
      </c>
      <c r="O9" s="20">
        <v>1</v>
      </c>
      <c r="P9" s="2"/>
    </row>
    <row r="10" spans="1:16" ht="20.399999999999999" customHeight="1" x14ac:dyDescent="0.4">
      <c r="A10" s="1">
        <v>46220.895071701394</v>
      </c>
      <c r="B10" s="1"/>
      <c r="C10" s="11">
        <v>6610554161</v>
      </c>
      <c r="D10" s="20" t="s">
        <v>56</v>
      </c>
      <c r="E10" s="20" t="s">
        <v>57</v>
      </c>
      <c r="F10" s="20">
        <v>6351377.1040000003</v>
      </c>
      <c r="G10" s="20">
        <v>6383453.8569999998</v>
      </c>
      <c r="H10" s="20">
        <v>6383480.9179999996</v>
      </c>
      <c r="I10" s="20">
        <v>6394209.1739999996</v>
      </c>
      <c r="J10" s="20" t="s">
        <v>39</v>
      </c>
      <c r="K10" s="22" t="s">
        <v>58</v>
      </c>
      <c r="L10" s="20">
        <v>7752067.0710000005</v>
      </c>
      <c r="M10" s="20">
        <v>7757045.9179999996</v>
      </c>
      <c r="N10" s="20">
        <v>310.51217078899998</v>
      </c>
      <c r="O10" s="20">
        <v>274.98313964200003</v>
      </c>
      <c r="P10" s="2" t="s">
        <v>26</v>
      </c>
    </row>
    <row r="11" spans="1:16" ht="20.399999999999999" customHeight="1" x14ac:dyDescent="0.4">
      <c r="A11" s="1"/>
      <c r="B11" s="11">
        <f t="shared" si="0"/>
        <v>12</v>
      </c>
      <c r="C11" s="11">
        <f>SUM(D11:O11)</f>
        <v>12</v>
      </c>
      <c r="D11" s="20">
        <v>1</v>
      </c>
      <c r="E11" s="20">
        <v>1</v>
      </c>
      <c r="F11" s="20">
        <v>1</v>
      </c>
      <c r="G11" s="20">
        <v>1</v>
      </c>
      <c r="H11" s="20">
        <v>1</v>
      </c>
      <c r="I11" s="20">
        <v>1</v>
      </c>
      <c r="J11" s="20">
        <v>1</v>
      </c>
      <c r="K11" s="22">
        <v>1</v>
      </c>
      <c r="L11" s="20">
        <v>1</v>
      </c>
      <c r="M11" s="20">
        <v>1</v>
      </c>
      <c r="N11" s="20">
        <v>1</v>
      </c>
      <c r="O11" s="20">
        <v>1</v>
      </c>
      <c r="P11" s="2"/>
    </row>
    <row r="12" spans="1:16" ht="20.399999999999999" customHeight="1" x14ac:dyDescent="0.4">
      <c r="A12" s="1">
        <v>46216.669609340279</v>
      </c>
      <c r="B12" s="1"/>
      <c r="C12" s="11">
        <v>6710552942</v>
      </c>
      <c r="D12" s="20" t="s">
        <v>59</v>
      </c>
      <c r="E12" s="20" t="s">
        <v>60</v>
      </c>
      <c r="F12" s="19" t="s">
        <v>375</v>
      </c>
      <c r="G12" s="20" t="s">
        <v>61</v>
      </c>
      <c r="H12" s="20" t="s">
        <v>62</v>
      </c>
      <c r="I12" s="20" t="s">
        <v>63</v>
      </c>
      <c r="J12" s="20" t="s">
        <v>64</v>
      </c>
      <c r="K12" s="22" t="s">
        <v>65</v>
      </c>
      <c r="L12" s="19" t="s">
        <v>66</v>
      </c>
      <c r="M12" s="20" t="s">
        <v>67</v>
      </c>
      <c r="N12" s="20" t="s">
        <v>67</v>
      </c>
      <c r="O12" s="19" t="s">
        <v>66</v>
      </c>
      <c r="P12" s="14" t="s">
        <v>353</v>
      </c>
    </row>
    <row r="13" spans="1:16" ht="20.399999999999999" customHeight="1" x14ac:dyDescent="0.4">
      <c r="A13" s="1"/>
      <c r="B13" s="11">
        <f t="shared" si="0"/>
        <v>12</v>
      </c>
      <c r="C13" s="11">
        <f>SUM(D13:O13)</f>
        <v>10</v>
      </c>
      <c r="D13" s="20">
        <v>1</v>
      </c>
      <c r="E13" s="20">
        <v>1</v>
      </c>
      <c r="F13" s="20">
        <v>1</v>
      </c>
      <c r="G13" s="20">
        <v>1</v>
      </c>
      <c r="H13" s="20">
        <v>1</v>
      </c>
      <c r="I13" s="20">
        <v>1</v>
      </c>
      <c r="J13" s="20">
        <v>1</v>
      </c>
      <c r="K13" s="22">
        <v>1</v>
      </c>
      <c r="L13" s="20">
        <v>0</v>
      </c>
      <c r="M13" s="20">
        <v>0</v>
      </c>
      <c r="N13" s="20">
        <v>1</v>
      </c>
      <c r="O13" s="20">
        <v>1</v>
      </c>
      <c r="P13" s="2"/>
    </row>
    <row r="14" spans="1:16" ht="20.399999999999999" customHeight="1" x14ac:dyDescent="0.4">
      <c r="A14" s="1">
        <v>46220.920622974532</v>
      </c>
      <c r="B14" s="1"/>
      <c r="C14" s="11">
        <v>6710552951</v>
      </c>
      <c r="D14" s="20" t="s">
        <v>68</v>
      </c>
      <c r="E14" s="20" t="s">
        <v>69</v>
      </c>
      <c r="F14" s="20" t="s">
        <v>70</v>
      </c>
      <c r="G14" s="20" t="s">
        <v>71</v>
      </c>
      <c r="H14" s="20" t="s">
        <v>72</v>
      </c>
      <c r="I14" s="20" t="s">
        <v>73</v>
      </c>
      <c r="J14" s="19" t="s">
        <v>74</v>
      </c>
      <c r="K14" s="22" t="s">
        <v>75</v>
      </c>
      <c r="L14" s="20" t="s">
        <v>76</v>
      </c>
      <c r="M14" s="20" t="s">
        <v>77</v>
      </c>
      <c r="N14" s="20" t="s">
        <v>78</v>
      </c>
      <c r="O14" s="20" t="s">
        <v>79</v>
      </c>
      <c r="P14" s="14" t="s">
        <v>354</v>
      </c>
    </row>
    <row r="15" spans="1:16" ht="20.399999999999999" customHeight="1" x14ac:dyDescent="0.4">
      <c r="A15" s="1"/>
      <c r="B15" s="11">
        <f t="shared" si="0"/>
        <v>12</v>
      </c>
      <c r="C15" s="11">
        <f>SUM(D15:O15)</f>
        <v>8</v>
      </c>
      <c r="D15" s="20">
        <v>1</v>
      </c>
      <c r="E15" s="20">
        <v>1</v>
      </c>
      <c r="F15" s="20">
        <v>0</v>
      </c>
      <c r="G15" s="20">
        <v>1</v>
      </c>
      <c r="H15" s="20">
        <v>0.5</v>
      </c>
      <c r="I15" s="20">
        <v>0.5</v>
      </c>
      <c r="J15" s="20">
        <v>1</v>
      </c>
      <c r="K15" s="22">
        <v>1</v>
      </c>
      <c r="L15" s="20">
        <v>0</v>
      </c>
      <c r="M15" s="20">
        <v>0</v>
      </c>
      <c r="N15" s="20">
        <v>1</v>
      </c>
      <c r="O15" s="20">
        <v>1</v>
      </c>
      <c r="P15" s="2"/>
    </row>
    <row r="16" spans="1:16" ht="20.399999999999999" customHeight="1" x14ac:dyDescent="0.4">
      <c r="A16" s="1">
        <v>46215.541830208334</v>
      </c>
      <c r="B16" s="1"/>
      <c r="C16" s="11">
        <v>6710552969</v>
      </c>
      <c r="D16" s="20" t="s">
        <v>56</v>
      </c>
      <c r="E16" s="20" t="s">
        <v>57</v>
      </c>
      <c r="F16" s="19" t="s">
        <v>80</v>
      </c>
      <c r="G16" s="19" t="s">
        <v>81</v>
      </c>
      <c r="H16" s="19" t="s">
        <v>82</v>
      </c>
      <c r="I16" s="19" t="s">
        <v>83</v>
      </c>
      <c r="J16" s="20" t="s">
        <v>84</v>
      </c>
      <c r="K16" s="22" t="s">
        <v>85</v>
      </c>
      <c r="L16" s="19" t="s">
        <v>86</v>
      </c>
      <c r="M16" s="19" t="s">
        <v>87</v>
      </c>
      <c r="N16" s="19" t="s">
        <v>88</v>
      </c>
      <c r="O16" s="19" t="s">
        <v>89</v>
      </c>
      <c r="P16" s="14" t="s">
        <v>355</v>
      </c>
    </row>
    <row r="17" spans="1:16" ht="20.399999999999999" customHeight="1" x14ac:dyDescent="0.4">
      <c r="A17" s="1"/>
      <c r="B17" s="11">
        <f t="shared" si="0"/>
        <v>12</v>
      </c>
      <c r="C17" s="11">
        <f>SUM(D17:O17)</f>
        <v>11</v>
      </c>
      <c r="D17" s="20">
        <v>1</v>
      </c>
      <c r="E17" s="20">
        <v>1</v>
      </c>
      <c r="F17" s="20">
        <v>1</v>
      </c>
      <c r="G17" s="20">
        <v>1</v>
      </c>
      <c r="H17" s="20">
        <v>1</v>
      </c>
      <c r="I17" s="20">
        <v>1</v>
      </c>
      <c r="J17" s="20">
        <v>1</v>
      </c>
      <c r="K17" s="22">
        <v>1</v>
      </c>
      <c r="L17" s="20">
        <v>1</v>
      </c>
      <c r="M17" s="20">
        <v>0</v>
      </c>
      <c r="N17" s="20">
        <v>1</v>
      </c>
      <c r="O17" s="20">
        <v>1</v>
      </c>
    </row>
    <row r="18" spans="1:16" ht="20.399999999999999" customHeight="1" x14ac:dyDescent="0.4">
      <c r="A18" s="1">
        <v>46215.882875150462</v>
      </c>
      <c r="B18" s="1"/>
      <c r="C18" s="11">
        <v>6710552977</v>
      </c>
      <c r="D18" s="20" t="s">
        <v>90</v>
      </c>
      <c r="E18" s="20" t="s">
        <v>91</v>
      </c>
      <c r="F18" s="23" t="s">
        <v>92</v>
      </c>
      <c r="G18" s="23" t="s">
        <v>93</v>
      </c>
      <c r="H18" s="23" t="s">
        <v>94</v>
      </c>
      <c r="I18" s="23" t="s">
        <v>95</v>
      </c>
      <c r="J18" s="20">
        <v>0</v>
      </c>
      <c r="K18" s="22" t="s">
        <v>96</v>
      </c>
      <c r="L18" s="19" t="s">
        <v>97</v>
      </c>
      <c r="M18" s="19" t="s">
        <v>98</v>
      </c>
      <c r="N18" s="20" t="s">
        <v>99</v>
      </c>
      <c r="O18" s="20" t="s">
        <v>100</v>
      </c>
      <c r="P18" s="14" t="s">
        <v>356</v>
      </c>
    </row>
    <row r="19" spans="1:16" ht="20.399999999999999" customHeight="1" x14ac:dyDescent="0.4">
      <c r="A19" s="1"/>
      <c r="B19" s="11">
        <f t="shared" si="0"/>
        <v>12</v>
      </c>
      <c r="C19" s="11">
        <f>SUM(D19:O19)</f>
        <v>6</v>
      </c>
      <c r="D19" s="20">
        <v>1</v>
      </c>
      <c r="E19" s="20">
        <v>1</v>
      </c>
      <c r="F19" s="24">
        <v>0</v>
      </c>
      <c r="G19" s="24">
        <v>1</v>
      </c>
      <c r="H19" s="23">
        <v>1</v>
      </c>
      <c r="I19" s="23">
        <v>1</v>
      </c>
      <c r="J19" s="20">
        <v>0</v>
      </c>
      <c r="K19" s="22">
        <v>1</v>
      </c>
      <c r="L19" s="20">
        <v>0</v>
      </c>
      <c r="M19" s="20">
        <v>0</v>
      </c>
      <c r="N19" s="20">
        <v>0</v>
      </c>
      <c r="O19" s="20">
        <v>0</v>
      </c>
      <c r="P19" s="2"/>
    </row>
    <row r="20" spans="1:16" ht="20.399999999999999" customHeight="1" x14ac:dyDescent="0.4">
      <c r="A20" s="1">
        <v>46210.907953240741</v>
      </c>
      <c r="B20" s="1"/>
      <c r="C20" s="11">
        <v>6710552985</v>
      </c>
      <c r="D20" s="20" t="s">
        <v>101</v>
      </c>
      <c r="E20" s="20" t="s">
        <v>60</v>
      </c>
      <c r="F20" s="20">
        <v>6351377.1037155101</v>
      </c>
      <c r="G20" s="20">
        <v>6383453.8572000004</v>
      </c>
      <c r="H20" s="20">
        <v>6383480.9177000001</v>
      </c>
      <c r="I20" s="20">
        <v>6394209.1738</v>
      </c>
      <c r="J20" s="20" t="s">
        <v>102</v>
      </c>
      <c r="K20" s="22" t="s">
        <v>103</v>
      </c>
      <c r="L20" s="20">
        <v>8828976.5580000002</v>
      </c>
      <c r="M20" s="20">
        <v>8840673.7259999998</v>
      </c>
      <c r="N20" s="20">
        <v>319.26901955699998</v>
      </c>
      <c r="O20" s="20">
        <v>255.419901705</v>
      </c>
      <c r="P20" s="15" t="s">
        <v>26</v>
      </c>
    </row>
    <row r="21" spans="1:16" ht="20.399999999999999" customHeight="1" x14ac:dyDescent="0.4">
      <c r="A21" s="1"/>
      <c r="B21" s="11">
        <f t="shared" si="0"/>
        <v>12</v>
      </c>
      <c r="C21" s="11">
        <f>SUM(D21:O21)</f>
        <v>12</v>
      </c>
      <c r="D21" s="20">
        <v>1</v>
      </c>
      <c r="E21" s="20">
        <v>1</v>
      </c>
      <c r="F21" s="20">
        <v>1</v>
      </c>
      <c r="G21" s="20">
        <v>1</v>
      </c>
      <c r="H21" s="20">
        <v>1</v>
      </c>
      <c r="I21" s="20">
        <v>1</v>
      </c>
      <c r="J21" s="20">
        <v>1</v>
      </c>
      <c r="K21" s="22">
        <v>1</v>
      </c>
      <c r="L21" s="20">
        <v>1</v>
      </c>
      <c r="M21" s="20">
        <v>1</v>
      </c>
      <c r="N21" s="20">
        <v>1</v>
      </c>
      <c r="O21" s="20">
        <v>1</v>
      </c>
      <c r="P21" s="2"/>
    </row>
    <row r="22" spans="1:16" ht="20.399999999999999" customHeight="1" x14ac:dyDescent="0.4">
      <c r="A22" s="1">
        <v>46215.907309467591</v>
      </c>
      <c r="B22" s="1"/>
      <c r="C22" s="11">
        <v>6710552993</v>
      </c>
      <c r="D22" s="20" t="s">
        <v>104</v>
      </c>
      <c r="E22" s="20" t="s">
        <v>28</v>
      </c>
      <c r="F22" s="19" t="s">
        <v>105</v>
      </c>
      <c r="G22" s="19" t="s">
        <v>106</v>
      </c>
      <c r="H22" s="19" t="s">
        <v>107</v>
      </c>
      <c r="I22" s="19" t="s">
        <v>108</v>
      </c>
      <c r="J22" s="20" t="s">
        <v>109</v>
      </c>
      <c r="K22" s="22" t="s">
        <v>110</v>
      </c>
      <c r="L22" s="20" t="s">
        <v>111</v>
      </c>
      <c r="M22" s="19" t="s">
        <v>112</v>
      </c>
      <c r="N22" s="20" t="s">
        <v>113</v>
      </c>
      <c r="O22" s="20" t="s">
        <v>114</v>
      </c>
      <c r="P22" s="14" t="s">
        <v>357</v>
      </c>
    </row>
    <row r="23" spans="1:16" ht="20.399999999999999" customHeight="1" x14ac:dyDescent="0.4">
      <c r="A23" s="1"/>
      <c r="B23" s="11">
        <f t="shared" si="0"/>
        <v>12</v>
      </c>
      <c r="C23" s="11">
        <f>SUM(D23:O23)</f>
        <v>7</v>
      </c>
      <c r="D23" s="20">
        <v>1</v>
      </c>
      <c r="E23" s="20">
        <v>1</v>
      </c>
      <c r="F23" s="20">
        <v>1</v>
      </c>
      <c r="G23" s="20">
        <v>1</v>
      </c>
      <c r="H23" s="20">
        <v>1</v>
      </c>
      <c r="I23" s="20">
        <v>1</v>
      </c>
      <c r="J23" s="20">
        <v>0</v>
      </c>
      <c r="K23" s="22">
        <v>1</v>
      </c>
      <c r="L23" s="20">
        <v>0</v>
      </c>
      <c r="M23" s="20">
        <v>0</v>
      </c>
      <c r="N23" s="20">
        <v>0</v>
      </c>
      <c r="O23" s="20">
        <v>0</v>
      </c>
      <c r="P23" s="2"/>
    </row>
    <row r="24" spans="1:16" ht="20.399999999999999" customHeight="1" x14ac:dyDescent="0.4">
      <c r="A24" s="1">
        <v>46215.958660763892</v>
      </c>
      <c r="B24" s="1"/>
      <c r="C24" s="11">
        <v>6710553001</v>
      </c>
      <c r="D24" s="20" t="s">
        <v>115</v>
      </c>
      <c r="E24" s="20" t="s">
        <v>116</v>
      </c>
      <c r="F24" s="19" t="s">
        <v>117</v>
      </c>
      <c r="G24" s="19" t="s">
        <v>118</v>
      </c>
      <c r="H24" s="19" t="s">
        <v>119</v>
      </c>
      <c r="I24" s="19" t="s">
        <v>120</v>
      </c>
      <c r="J24" s="19" t="s">
        <v>121</v>
      </c>
      <c r="K24" s="22"/>
      <c r="L24" s="19" t="s">
        <v>122</v>
      </c>
      <c r="M24" s="19" t="s">
        <v>123</v>
      </c>
      <c r="N24" s="20" t="s">
        <v>124</v>
      </c>
      <c r="O24" s="20" t="s">
        <v>125</v>
      </c>
      <c r="P24" s="14" t="s">
        <v>358</v>
      </c>
    </row>
    <row r="25" spans="1:16" ht="20.399999999999999" customHeight="1" x14ac:dyDescent="0.4">
      <c r="A25" s="1"/>
      <c r="B25" s="11">
        <f t="shared" si="0"/>
        <v>12</v>
      </c>
      <c r="C25" s="11">
        <f>SUM(D25:O25)</f>
        <v>7</v>
      </c>
      <c r="D25" s="20">
        <v>1</v>
      </c>
      <c r="E25" s="20">
        <v>1</v>
      </c>
      <c r="F25" s="20">
        <v>1</v>
      </c>
      <c r="G25" s="20">
        <v>0</v>
      </c>
      <c r="H25" s="20">
        <v>1</v>
      </c>
      <c r="I25" s="20">
        <v>1</v>
      </c>
      <c r="J25" s="20">
        <v>1</v>
      </c>
      <c r="K25" s="22">
        <v>1</v>
      </c>
      <c r="L25" s="20">
        <v>0</v>
      </c>
      <c r="M25" s="20">
        <v>0</v>
      </c>
      <c r="N25" s="20">
        <v>0</v>
      </c>
      <c r="O25" s="20">
        <v>0</v>
      </c>
      <c r="P25" s="2"/>
    </row>
    <row r="26" spans="1:16" ht="20.399999999999999" customHeight="1" x14ac:dyDescent="0.4">
      <c r="A26" s="1">
        <v>46220.9334790625</v>
      </c>
      <c r="B26" s="1"/>
      <c r="C26" s="11">
        <v>6710553027</v>
      </c>
      <c r="D26" s="20" t="s">
        <v>68</v>
      </c>
      <c r="E26" s="20" t="s">
        <v>126</v>
      </c>
      <c r="F26" s="20" t="s">
        <v>127</v>
      </c>
      <c r="G26" s="19" t="s">
        <v>71</v>
      </c>
      <c r="H26" s="20" t="s">
        <v>128</v>
      </c>
      <c r="I26" s="20" t="s">
        <v>129</v>
      </c>
      <c r="J26" s="20" t="s">
        <v>130</v>
      </c>
      <c r="K26" s="22" t="s">
        <v>131</v>
      </c>
      <c r="L26" s="20" t="s">
        <v>132</v>
      </c>
      <c r="M26" s="20" t="s">
        <v>133</v>
      </c>
      <c r="N26" s="20" t="s">
        <v>134</v>
      </c>
      <c r="O26" s="20" t="s">
        <v>135</v>
      </c>
      <c r="P26" s="14" t="s">
        <v>359</v>
      </c>
    </row>
    <row r="27" spans="1:16" ht="20.399999999999999" customHeight="1" x14ac:dyDescent="0.4">
      <c r="A27" s="1"/>
      <c r="B27" s="11">
        <f t="shared" si="0"/>
        <v>12</v>
      </c>
      <c r="C27" s="11">
        <f>SUM(D27:O27)</f>
        <v>6</v>
      </c>
      <c r="D27" s="20">
        <v>1</v>
      </c>
      <c r="E27" s="20">
        <v>1</v>
      </c>
      <c r="F27" s="20">
        <v>0</v>
      </c>
      <c r="G27" s="20">
        <v>0.5</v>
      </c>
      <c r="H27" s="20">
        <v>0.5</v>
      </c>
      <c r="I27" s="20">
        <v>0</v>
      </c>
      <c r="J27" s="20">
        <v>1</v>
      </c>
      <c r="K27" s="22">
        <v>1</v>
      </c>
      <c r="L27" s="20">
        <v>1</v>
      </c>
      <c r="M27" s="20">
        <v>0</v>
      </c>
      <c r="N27" s="20">
        <v>0</v>
      </c>
      <c r="O27" s="20">
        <v>0</v>
      </c>
      <c r="P27" s="2"/>
    </row>
    <row r="28" spans="1:16" ht="20.399999999999999" customHeight="1" x14ac:dyDescent="0.4">
      <c r="A28" s="1">
        <v>46215.836096493054</v>
      </c>
      <c r="B28" s="1"/>
      <c r="C28" s="11">
        <v>6710553035</v>
      </c>
      <c r="D28" s="20" t="s">
        <v>136</v>
      </c>
      <c r="E28" s="20" t="s">
        <v>137</v>
      </c>
      <c r="F28" s="20" t="s">
        <v>138</v>
      </c>
      <c r="G28" s="20" t="s">
        <v>139</v>
      </c>
      <c r="H28" s="20" t="s">
        <v>140</v>
      </c>
      <c r="I28" s="20" t="s">
        <v>141</v>
      </c>
      <c r="J28" s="20" t="s">
        <v>142</v>
      </c>
      <c r="K28" s="22" t="s">
        <v>143</v>
      </c>
      <c r="L28" s="20" t="s">
        <v>144</v>
      </c>
      <c r="M28" s="20" t="s">
        <v>145</v>
      </c>
      <c r="N28" s="20" t="s">
        <v>146</v>
      </c>
      <c r="O28" s="20" t="s">
        <v>147</v>
      </c>
      <c r="P28" s="16" t="s">
        <v>360</v>
      </c>
    </row>
    <row r="29" spans="1:16" ht="20.399999999999999" customHeight="1" x14ac:dyDescent="0.4">
      <c r="A29" s="1"/>
      <c r="B29" s="11">
        <f t="shared" si="0"/>
        <v>12</v>
      </c>
      <c r="C29" s="11">
        <f>SUM(D29:O29)</f>
        <v>11.5</v>
      </c>
      <c r="D29" s="20">
        <v>1</v>
      </c>
      <c r="E29" s="20">
        <v>1</v>
      </c>
      <c r="F29" s="20">
        <v>1</v>
      </c>
      <c r="G29" s="20">
        <v>1</v>
      </c>
      <c r="H29" s="20">
        <v>1</v>
      </c>
      <c r="I29" s="20">
        <v>1</v>
      </c>
      <c r="J29" s="20">
        <v>1</v>
      </c>
      <c r="K29" s="22">
        <v>1</v>
      </c>
      <c r="L29" s="20">
        <v>1</v>
      </c>
      <c r="M29" s="20">
        <v>0.5</v>
      </c>
      <c r="N29" s="20">
        <v>1</v>
      </c>
      <c r="O29" s="20">
        <v>1</v>
      </c>
      <c r="P29" s="2"/>
    </row>
    <row r="30" spans="1:16" ht="20.399999999999999" customHeight="1" x14ac:dyDescent="0.4">
      <c r="A30" s="1">
        <v>46208.90652892361</v>
      </c>
      <c r="B30" s="1"/>
      <c r="C30" s="11">
        <v>6710553078</v>
      </c>
      <c r="D30" s="20" t="s">
        <v>148</v>
      </c>
      <c r="E30" s="20" t="s">
        <v>149</v>
      </c>
      <c r="F30" s="20" t="s">
        <v>29</v>
      </c>
      <c r="G30" s="20" t="s">
        <v>150</v>
      </c>
      <c r="H30" s="20" t="s">
        <v>31</v>
      </c>
      <c r="I30" s="20" t="s">
        <v>32</v>
      </c>
      <c r="J30" s="20" t="s">
        <v>151</v>
      </c>
      <c r="K30" s="22" t="s">
        <v>152</v>
      </c>
      <c r="L30" s="20" t="s">
        <v>153</v>
      </c>
      <c r="M30" s="20" t="s">
        <v>154</v>
      </c>
      <c r="N30" s="20" t="s">
        <v>155</v>
      </c>
      <c r="O30" s="20" t="s">
        <v>156</v>
      </c>
      <c r="P30" t="s">
        <v>26</v>
      </c>
    </row>
    <row r="31" spans="1:16" ht="20.399999999999999" customHeight="1" x14ac:dyDescent="0.4">
      <c r="A31" s="1"/>
      <c r="B31" s="11">
        <f t="shared" si="0"/>
        <v>12</v>
      </c>
      <c r="C31" s="11">
        <f>SUM(D31:O31)</f>
        <v>12</v>
      </c>
      <c r="D31" s="20">
        <v>1</v>
      </c>
      <c r="E31" s="20">
        <v>1</v>
      </c>
      <c r="F31" s="20">
        <v>1</v>
      </c>
      <c r="G31" s="20">
        <v>1</v>
      </c>
      <c r="H31" s="20">
        <v>1</v>
      </c>
      <c r="I31" s="20">
        <v>1</v>
      </c>
      <c r="J31" s="20">
        <v>1</v>
      </c>
      <c r="K31" s="22">
        <v>1</v>
      </c>
      <c r="L31" s="20">
        <v>1</v>
      </c>
      <c r="M31" s="20">
        <v>1</v>
      </c>
      <c r="N31" s="20">
        <v>1</v>
      </c>
      <c r="O31" s="20">
        <v>1</v>
      </c>
    </row>
    <row r="32" spans="1:16" ht="20.399999999999999" customHeight="1" x14ac:dyDescent="0.4">
      <c r="A32" s="1">
        <v>46208.762088888892</v>
      </c>
      <c r="B32" s="1"/>
      <c r="C32" s="11">
        <v>6710553086</v>
      </c>
      <c r="D32" s="20">
        <v>6371000</v>
      </c>
      <c r="E32" s="20">
        <v>6371000</v>
      </c>
      <c r="F32" s="23">
        <v>6371000</v>
      </c>
      <c r="G32" s="23">
        <v>6383453.8569999998</v>
      </c>
      <c r="H32" s="23">
        <v>6383480.9179999996</v>
      </c>
      <c r="I32" s="23">
        <v>6394209.1739999996</v>
      </c>
      <c r="J32" s="20">
        <v>6394209.1739999996</v>
      </c>
      <c r="K32" s="22" t="s">
        <v>157</v>
      </c>
      <c r="L32" s="20" t="s">
        <v>158</v>
      </c>
      <c r="M32" s="20">
        <v>9599.7000000000007</v>
      </c>
      <c r="N32" s="19" t="s">
        <v>159</v>
      </c>
      <c r="O32" s="19" t="s">
        <v>160</v>
      </c>
      <c r="P32" s="17" t="s">
        <v>361</v>
      </c>
    </row>
    <row r="33" spans="1:16" ht="20.399999999999999" customHeight="1" x14ac:dyDescent="0.4">
      <c r="A33" s="1"/>
      <c r="B33" s="11">
        <f t="shared" si="0"/>
        <v>12</v>
      </c>
      <c r="C33" s="11">
        <f>SUM(D33:O33)</f>
        <v>5</v>
      </c>
      <c r="D33" s="20">
        <v>0</v>
      </c>
      <c r="E33" s="20">
        <v>0</v>
      </c>
      <c r="F33" s="23">
        <v>0</v>
      </c>
      <c r="G33" s="23">
        <v>1</v>
      </c>
      <c r="H33" s="23">
        <v>1</v>
      </c>
      <c r="I33" s="23">
        <v>1</v>
      </c>
      <c r="J33" s="20">
        <v>0</v>
      </c>
      <c r="K33" s="22">
        <v>1</v>
      </c>
      <c r="L33" s="20">
        <v>1</v>
      </c>
      <c r="M33" s="20">
        <v>0</v>
      </c>
      <c r="N33" s="20">
        <v>0</v>
      </c>
      <c r="O33" s="20">
        <v>0</v>
      </c>
    </row>
    <row r="34" spans="1:16" ht="20.399999999999999" customHeight="1" x14ac:dyDescent="0.4">
      <c r="A34" s="1">
        <v>46216.499218703699</v>
      </c>
      <c r="B34" s="1"/>
      <c r="C34" s="11">
        <v>6710553094</v>
      </c>
      <c r="D34" s="20" t="s">
        <v>27</v>
      </c>
      <c r="E34" s="20" t="s">
        <v>28</v>
      </c>
      <c r="F34" s="20">
        <v>6351377.1040000003</v>
      </c>
      <c r="G34" s="20">
        <v>6383453.8569999998</v>
      </c>
      <c r="H34" s="20">
        <v>6383480.9179999996</v>
      </c>
      <c r="I34" s="20">
        <v>6394209.1739999996</v>
      </c>
      <c r="J34" s="20" t="s">
        <v>161</v>
      </c>
      <c r="K34" s="22" t="s">
        <v>162</v>
      </c>
      <c r="L34" s="20">
        <v>10143499.219000001</v>
      </c>
      <c r="M34" s="20">
        <v>10158335.969000001</v>
      </c>
      <c r="N34" s="20">
        <v>313.077661525</v>
      </c>
      <c r="O34" s="20">
        <v>246.888393616</v>
      </c>
      <c r="P34" s="2"/>
    </row>
    <row r="35" spans="1:16" ht="20.399999999999999" customHeight="1" x14ac:dyDescent="0.4">
      <c r="A35" s="1"/>
      <c r="B35" s="11">
        <f t="shared" si="0"/>
        <v>12</v>
      </c>
      <c r="C35" s="11">
        <f>SUM(D35:O35)</f>
        <v>12</v>
      </c>
      <c r="D35" s="20">
        <v>1</v>
      </c>
      <c r="E35" s="20">
        <v>1</v>
      </c>
      <c r="F35" s="20">
        <v>1</v>
      </c>
      <c r="G35" s="20">
        <v>1</v>
      </c>
      <c r="H35" s="20">
        <v>1</v>
      </c>
      <c r="I35" s="20">
        <v>1</v>
      </c>
      <c r="J35" s="20">
        <v>1</v>
      </c>
      <c r="K35" s="22">
        <v>1</v>
      </c>
      <c r="L35" s="20">
        <v>1</v>
      </c>
      <c r="M35" s="20">
        <v>1</v>
      </c>
      <c r="N35" s="20">
        <v>1</v>
      </c>
      <c r="O35" s="20">
        <v>1</v>
      </c>
      <c r="P35" s="2"/>
    </row>
    <row r="36" spans="1:16" ht="20.399999999999999" customHeight="1" x14ac:dyDescent="0.4">
      <c r="A36" s="1">
        <v>46220.986041956014</v>
      </c>
      <c r="B36" s="1"/>
      <c r="C36" s="11">
        <v>6710553108</v>
      </c>
      <c r="D36" s="20" t="s">
        <v>163</v>
      </c>
      <c r="E36" s="20" t="s">
        <v>91</v>
      </c>
      <c r="F36" s="20" t="s">
        <v>164</v>
      </c>
      <c r="G36" s="20" t="s">
        <v>165</v>
      </c>
      <c r="H36" s="20" t="s">
        <v>166</v>
      </c>
      <c r="I36" s="20" t="s">
        <v>167</v>
      </c>
      <c r="J36" s="20" t="s">
        <v>168</v>
      </c>
      <c r="K36" s="22"/>
      <c r="L36" s="20">
        <v>7104610</v>
      </c>
      <c r="M36" s="20">
        <v>7106470</v>
      </c>
      <c r="N36" s="20" t="s">
        <v>169</v>
      </c>
      <c r="O36" s="20" t="s">
        <v>170</v>
      </c>
      <c r="P36" s="14" t="s">
        <v>362</v>
      </c>
    </row>
    <row r="37" spans="1:16" ht="20.399999999999999" customHeight="1" x14ac:dyDescent="0.4">
      <c r="A37" s="1"/>
      <c r="B37" s="11">
        <f t="shared" si="0"/>
        <v>12</v>
      </c>
      <c r="C37" s="11">
        <f>SUM(D37:O37)</f>
        <v>8</v>
      </c>
      <c r="D37" s="20">
        <v>1</v>
      </c>
      <c r="E37" s="20">
        <v>1</v>
      </c>
      <c r="F37" s="20">
        <v>0</v>
      </c>
      <c r="G37" s="20">
        <v>0.5</v>
      </c>
      <c r="H37" s="20">
        <v>0.5</v>
      </c>
      <c r="I37" s="20">
        <v>0.5</v>
      </c>
      <c r="J37" s="20">
        <v>1</v>
      </c>
      <c r="K37" s="22">
        <v>0</v>
      </c>
      <c r="L37" s="20">
        <v>1</v>
      </c>
      <c r="M37" s="20">
        <v>0.5</v>
      </c>
      <c r="N37" s="20">
        <v>1</v>
      </c>
      <c r="O37" s="20">
        <v>1</v>
      </c>
      <c r="P37" s="2"/>
    </row>
    <row r="38" spans="1:16" ht="20.399999999999999" customHeight="1" x14ac:dyDescent="0.4">
      <c r="A38" s="1">
        <v>46214.611336099537</v>
      </c>
      <c r="B38" s="1"/>
      <c r="C38" s="11">
        <v>6710553124</v>
      </c>
      <c r="D38" s="20" t="s">
        <v>171</v>
      </c>
      <c r="E38" s="20" t="s">
        <v>172</v>
      </c>
      <c r="F38" s="20" t="s">
        <v>173</v>
      </c>
      <c r="G38" s="20" t="s">
        <v>174</v>
      </c>
      <c r="H38" s="20" t="s">
        <v>175</v>
      </c>
      <c r="I38" s="20" t="s">
        <v>176</v>
      </c>
      <c r="J38" s="20" t="s">
        <v>177</v>
      </c>
      <c r="K38" s="21" t="s">
        <v>178</v>
      </c>
      <c r="L38" s="20" t="s">
        <v>179</v>
      </c>
      <c r="M38" s="20" t="s">
        <v>180</v>
      </c>
      <c r="N38" s="20" t="s">
        <v>181</v>
      </c>
      <c r="O38" s="20" t="s">
        <v>182</v>
      </c>
      <c r="P38" s="2" t="s">
        <v>26</v>
      </c>
    </row>
    <row r="39" spans="1:16" ht="20.399999999999999" customHeight="1" x14ac:dyDescent="0.4">
      <c r="A39" s="1"/>
      <c r="B39" s="11">
        <f t="shared" si="0"/>
        <v>12</v>
      </c>
      <c r="C39" s="11">
        <f>SUM(D39:O39)</f>
        <v>12</v>
      </c>
      <c r="D39" s="20">
        <v>1</v>
      </c>
      <c r="E39" s="20">
        <v>1</v>
      </c>
      <c r="F39" s="20">
        <v>1</v>
      </c>
      <c r="G39" s="20">
        <v>1</v>
      </c>
      <c r="H39" s="20">
        <v>1</v>
      </c>
      <c r="I39" s="20">
        <v>1</v>
      </c>
      <c r="J39" s="20">
        <v>1</v>
      </c>
      <c r="K39" s="21">
        <v>1</v>
      </c>
      <c r="L39" s="20">
        <v>1</v>
      </c>
      <c r="M39" s="20">
        <v>1</v>
      </c>
      <c r="N39" s="20">
        <v>1</v>
      </c>
      <c r="O39" s="20">
        <v>1</v>
      </c>
      <c r="P39" s="2"/>
    </row>
    <row r="40" spans="1:16" ht="20.399999999999999" customHeight="1" x14ac:dyDescent="0.4">
      <c r="A40" s="1">
        <v>46215.88519987269</v>
      </c>
      <c r="B40" s="1"/>
      <c r="C40" s="11">
        <v>6710553141</v>
      </c>
      <c r="D40" s="20" t="s">
        <v>183</v>
      </c>
      <c r="E40" s="19" t="s">
        <v>184</v>
      </c>
      <c r="F40" s="20" t="s">
        <v>185</v>
      </c>
      <c r="G40" s="20" t="s">
        <v>186</v>
      </c>
      <c r="H40" s="20" t="s">
        <v>187</v>
      </c>
      <c r="I40" s="20" t="s">
        <v>188</v>
      </c>
      <c r="J40" s="19" t="s">
        <v>189</v>
      </c>
      <c r="K40" s="22" t="s">
        <v>190</v>
      </c>
      <c r="L40" s="20" t="s">
        <v>191</v>
      </c>
      <c r="M40" s="20" t="s">
        <v>192</v>
      </c>
      <c r="N40" s="20" t="s">
        <v>193</v>
      </c>
      <c r="O40" s="20" t="s">
        <v>194</v>
      </c>
      <c r="P40" s="8" t="s">
        <v>363</v>
      </c>
    </row>
    <row r="41" spans="1:16" ht="20.399999999999999" customHeight="1" x14ac:dyDescent="0.4">
      <c r="A41" s="1"/>
      <c r="B41" s="11">
        <f t="shared" si="0"/>
        <v>12</v>
      </c>
      <c r="C41" s="11">
        <f>SUM(D41:O41)</f>
        <v>11</v>
      </c>
      <c r="D41" s="20">
        <v>1</v>
      </c>
      <c r="E41" s="20">
        <v>1</v>
      </c>
      <c r="F41" s="20">
        <v>1</v>
      </c>
      <c r="G41" s="20">
        <v>1</v>
      </c>
      <c r="H41" s="20">
        <v>1</v>
      </c>
      <c r="I41" s="20">
        <v>1</v>
      </c>
      <c r="J41" s="20">
        <v>1</v>
      </c>
      <c r="K41" s="22">
        <v>1</v>
      </c>
      <c r="L41" s="20">
        <v>0</v>
      </c>
      <c r="M41" s="20">
        <v>1</v>
      </c>
      <c r="N41" s="20">
        <v>1</v>
      </c>
      <c r="O41" s="20">
        <v>1</v>
      </c>
    </row>
    <row r="42" spans="1:16" ht="20.399999999999999" customHeight="1" x14ac:dyDescent="0.4">
      <c r="A42" s="1">
        <v>46220.932737060182</v>
      </c>
      <c r="B42" s="1"/>
      <c r="C42" s="11">
        <v>6710553191</v>
      </c>
      <c r="D42" s="20" t="s">
        <v>27</v>
      </c>
      <c r="E42" s="20" t="s">
        <v>195</v>
      </c>
      <c r="F42" s="20" t="s">
        <v>185</v>
      </c>
      <c r="G42" s="20" t="s">
        <v>186</v>
      </c>
      <c r="H42" s="20" t="s">
        <v>187</v>
      </c>
      <c r="I42" s="20" t="s">
        <v>188</v>
      </c>
      <c r="J42" s="20" t="s">
        <v>196</v>
      </c>
      <c r="K42" s="22" t="s">
        <v>197</v>
      </c>
      <c r="L42" s="20" t="s">
        <v>198</v>
      </c>
      <c r="M42" s="20" t="s">
        <v>199</v>
      </c>
      <c r="N42" s="20" t="s">
        <v>200</v>
      </c>
      <c r="O42" s="20" t="s">
        <v>201</v>
      </c>
      <c r="P42" s="2" t="s">
        <v>26</v>
      </c>
    </row>
    <row r="43" spans="1:16" ht="20.399999999999999" customHeight="1" x14ac:dyDescent="0.4">
      <c r="A43" s="1"/>
      <c r="B43" s="11">
        <f t="shared" si="0"/>
        <v>12</v>
      </c>
      <c r="C43" s="11">
        <f>SUM(D43:O43)</f>
        <v>12</v>
      </c>
      <c r="D43" s="20">
        <v>1</v>
      </c>
      <c r="E43" s="20">
        <v>1</v>
      </c>
      <c r="F43" s="20">
        <v>1</v>
      </c>
      <c r="G43" s="20">
        <v>1</v>
      </c>
      <c r="H43" s="20">
        <v>1</v>
      </c>
      <c r="I43" s="20">
        <v>1</v>
      </c>
      <c r="J43" s="20">
        <v>1</v>
      </c>
      <c r="K43" s="22">
        <v>1</v>
      </c>
      <c r="L43" s="20">
        <v>1</v>
      </c>
      <c r="M43" s="20">
        <v>1</v>
      </c>
      <c r="N43" s="20">
        <v>1</v>
      </c>
      <c r="O43" s="20">
        <v>1</v>
      </c>
      <c r="P43" s="2"/>
    </row>
    <row r="44" spans="1:16" ht="20.399999999999999" customHeight="1" x14ac:dyDescent="0.4">
      <c r="A44" s="1">
        <v>46220.947170821761</v>
      </c>
      <c r="B44" s="1"/>
      <c r="C44" s="11">
        <v>6710553205</v>
      </c>
      <c r="D44" s="20" t="s">
        <v>56</v>
      </c>
      <c r="E44" s="20" t="s">
        <v>57</v>
      </c>
      <c r="F44" s="20">
        <v>6351377.1040000003</v>
      </c>
      <c r="G44" s="20">
        <v>6383453.8569999998</v>
      </c>
      <c r="H44" s="20">
        <v>6383480.9179999996</v>
      </c>
      <c r="I44" s="20">
        <v>6394209.1739999996</v>
      </c>
      <c r="J44" s="20">
        <v>0</v>
      </c>
      <c r="K44" s="22" t="s">
        <v>202</v>
      </c>
      <c r="L44" s="20">
        <v>8999467.8699999992</v>
      </c>
      <c r="M44" s="20">
        <v>9008964.0899999999</v>
      </c>
      <c r="N44" s="20" t="s">
        <v>203</v>
      </c>
      <c r="O44" s="20" t="s">
        <v>204</v>
      </c>
      <c r="P44" s="2" t="s">
        <v>26</v>
      </c>
    </row>
    <row r="45" spans="1:16" ht="20.399999999999999" customHeight="1" x14ac:dyDescent="0.4">
      <c r="A45" s="1"/>
      <c r="B45" s="11">
        <f t="shared" si="0"/>
        <v>12</v>
      </c>
      <c r="C45" s="11">
        <f>SUM(D45:O45)</f>
        <v>11</v>
      </c>
      <c r="D45" s="20">
        <v>1</v>
      </c>
      <c r="E45" s="20">
        <v>1</v>
      </c>
      <c r="F45" s="20">
        <v>1</v>
      </c>
      <c r="G45" s="20">
        <v>1</v>
      </c>
      <c r="H45" s="20">
        <v>1</v>
      </c>
      <c r="I45" s="20">
        <v>1</v>
      </c>
      <c r="J45" s="20">
        <v>0</v>
      </c>
      <c r="K45" s="22">
        <v>1</v>
      </c>
      <c r="L45" s="20">
        <v>1</v>
      </c>
      <c r="M45" s="20">
        <v>1</v>
      </c>
      <c r="N45" s="20">
        <v>1</v>
      </c>
      <c r="O45" s="20">
        <v>1</v>
      </c>
      <c r="P45" s="2"/>
    </row>
    <row r="46" spans="1:16" ht="20.399999999999999" customHeight="1" x14ac:dyDescent="0.4">
      <c r="A46" s="1">
        <v>46209.565100729167</v>
      </c>
      <c r="B46" s="1"/>
      <c r="C46" s="11">
        <v>6710553213</v>
      </c>
      <c r="D46" s="20" t="s">
        <v>205</v>
      </c>
      <c r="E46" s="20" t="s">
        <v>57</v>
      </c>
      <c r="F46" s="20">
        <v>6351377.1040000003</v>
      </c>
      <c r="G46" s="20">
        <v>6383453.8569999998</v>
      </c>
      <c r="H46" s="20">
        <v>6383480.9179999996</v>
      </c>
      <c r="I46" s="20">
        <v>6394209.1739999996</v>
      </c>
      <c r="J46" s="20">
        <v>0</v>
      </c>
      <c r="K46" s="22" t="s">
        <v>206</v>
      </c>
      <c r="L46" s="20">
        <v>5385694.6909999996</v>
      </c>
      <c r="M46" s="20">
        <v>9187734.1899999995</v>
      </c>
      <c r="N46" s="20">
        <v>-37.902168000000003</v>
      </c>
      <c r="O46" s="20">
        <v>-103.239676</v>
      </c>
      <c r="P46" s="16" t="s">
        <v>364</v>
      </c>
    </row>
    <row r="47" spans="1:16" ht="20.399999999999999" customHeight="1" x14ac:dyDescent="0.4">
      <c r="A47" s="1"/>
      <c r="B47" s="11">
        <f t="shared" si="0"/>
        <v>12</v>
      </c>
      <c r="C47" s="11">
        <f>SUM(D47:O47)</f>
        <v>10</v>
      </c>
      <c r="D47" s="20">
        <v>1</v>
      </c>
      <c r="E47" s="20">
        <v>1</v>
      </c>
      <c r="F47" s="20">
        <v>1</v>
      </c>
      <c r="G47" s="20">
        <v>1</v>
      </c>
      <c r="H47" s="20">
        <v>1</v>
      </c>
      <c r="I47" s="20">
        <v>1</v>
      </c>
      <c r="J47" s="20">
        <v>0</v>
      </c>
      <c r="K47" s="22">
        <v>1</v>
      </c>
      <c r="L47" s="20">
        <v>0</v>
      </c>
      <c r="M47" s="20">
        <v>1</v>
      </c>
      <c r="N47" s="20">
        <v>1</v>
      </c>
      <c r="O47" s="20">
        <v>1</v>
      </c>
      <c r="P47" s="2"/>
    </row>
    <row r="48" spans="1:16" ht="20.399999999999999" customHeight="1" x14ac:dyDescent="0.4">
      <c r="A48" s="1">
        <v>46220.905363923608</v>
      </c>
      <c r="B48" s="1"/>
      <c r="C48" s="11">
        <v>6710553264</v>
      </c>
      <c r="D48" s="20" t="s">
        <v>207</v>
      </c>
      <c r="E48" s="20" t="s">
        <v>208</v>
      </c>
      <c r="F48" s="20" t="s">
        <v>185</v>
      </c>
      <c r="G48" s="20" t="s">
        <v>186</v>
      </c>
      <c r="H48" s="20" t="s">
        <v>187</v>
      </c>
      <c r="I48" s="20" t="s">
        <v>188</v>
      </c>
      <c r="J48" s="20">
        <v>0</v>
      </c>
      <c r="K48" s="22" t="s">
        <v>209</v>
      </c>
      <c r="L48" s="20" t="s">
        <v>210</v>
      </c>
      <c r="M48" s="20" t="s">
        <v>211</v>
      </c>
      <c r="N48" s="20" t="s">
        <v>212</v>
      </c>
      <c r="O48" s="20" t="s">
        <v>213</v>
      </c>
      <c r="P48" s="17" t="s">
        <v>365</v>
      </c>
    </row>
    <row r="49" spans="1:16" ht="20.399999999999999" customHeight="1" x14ac:dyDescent="0.4">
      <c r="A49" s="1"/>
      <c r="B49" s="11">
        <f t="shared" si="0"/>
        <v>12</v>
      </c>
      <c r="C49" s="11">
        <f>SUM(D49:O49)</f>
        <v>10</v>
      </c>
      <c r="D49" s="20">
        <v>1</v>
      </c>
      <c r="E49" s="20">
        <v>1</v>
      </c>
      <c r="F49" s="20">
        <v>1</v>
      </c>
      <c r="G49" s="20">
        <v>1</v>
      </c>
      <c r="H49" s="20">
        <v>1</v>
      </c>
      <c r="I49" s="20">
        <v>1</v>
      </c>
      <c r="J49" s="20">
        <v>0</v>
      </c>
      <c r="K49" s="22">
        <v>1</v>
      </c>
      <c r="L49" s="20">
        <v>0.5</v>
      </c>
      <c r="M49" s="20">
        <v>0.5</v>
      </c>
      <c r="N49" s="20">
        <v>1</v>
      </c>
      <c r="O49" s="20">
        <v>1</v>
      </c>
    </row>
    <row r="50" spans="1:16" ht="20.399999999999999" customHeight="1" x14ac:dyDescent="0.4">
      <c r="A50" s="1">
        <v>46216.555913495366</v>
      </c>
      <c r="B50" s="1"/>
      <c r="C50" s="11">
        <v>6710553272</v>
      </c>
      <c r="D50" s="20" t="s">
        <v>214</v>
      </c>
      <c r="E50" s="20" t="s">
        <v>215</v>
      </c>
      <c r="F50" s="19" t="s">
        <v>216</v>
      </c>
      <c r="G50" s="19" t="s">
        <v>217</v>
      </c>
      <c r="H50" s="20" t="s">
        <v>187</v>
      </c>
      <c r="I50" s="20" t="s">
        <v>188</v>
      </c>
      <c r="J50" s="20" t="s">
        <v>218</v>
      </c>
      <c r="K50" s="25" t="s">
        <v>219</v>
      </c>
      <c r="L50" s="20" t="s">
        <v>220</v>
      </c>
      <c r="M50" s="20" t="s">
        <v>221</v>
      </c>
      <c r="N50" s="20" t="s">
        <v>222</v>
      </c>
      <c r="O50" s="20" t="s">
        <v>223</v>
      </c>
      <c r="P50" s="14" t="s">
        <v>366</v>
      </c>
    </row>
    <row r="51" spans="1:16" ht="20.399999999999999" customHeight="1" x14ac:dyDescent="0.4">
      <c r="A51" s="1"/>
      <c r="B51" s="11">
        <f t="shared" si="0"/>
        <v>12</v>
      </c>
      <c r="C51" s="11">
        <f>SUM(D51:O51)</f>
        <v>8</v>
      </c>
      <c r="D51" s="20">
        <v>1</v>
      </c>
      <c r="E51" s="20">
        <v>1</v>
      </c>
      <c r="F51" s="20">
        <v>1</v>
      </c>
      <c r="G51" s="20">
        <v>1</v>
      </c>
      <c r="H51" s="20">
        <v>1</v>
      </c>
      <c r="I51" s="20">
        <v>1</v>
      </c>
      <c r="J51" s="20">
        <v>1</v>
      </c>
      <c r="K51" s="25">
        <v>1</v>
      </c>
      <c r="L51" s="20">
        <v>0</v>
      </c>
      <c r="M51" s="20">
        <v>0</v>
      </c>
      <c r="N51" s="20">
        <v>0</v>
      </c>
      <c r="O51" s="20">
        <v>0</v>
      </c>
      <c r="P51" s="2"/>
    </row>
    <row r="52" spans="1:16" ht="20.399999999999999" customHeight="1" x14ac:dyDescent="0.4">
      <c r="A52" s="1">
        <v>46220.957478032404</v>
      </c>
      <c r="B52" s="1"/>
      <c r="C52" s="11">
        <v>6710553281</v>
      </c>
      <c r="D52" s="20" t="s">
        <v>224</v>
      </c>
      <c r="E52" s="20" t="s">
        <v>225</v>
      </c>
      <c r="F52" s="20">
        <v>6351377103.7159996</v>
      </c>
      <c r="G52" s="20">
        <v>6383453857.2290001</v>
      </c>
      <c r="H52" s="20">
        <v>6351377103.7159996</v>
      </c>
      <c r="I52" s="20">
        <v>6394209173.8479996</v>
      </c>
      <c r="J52" s="20">
        <v>0</v>
      </c>
      <c r="K52" s="25" t="s">
        <v>226</v>
      </c>
      <c r="L52" s="20">
        <v>7426459.9780000001</v>
      </c>
      <c r="M52" s="20">
        <v>9588367.4279999994</v>
      </c>
      <c r="N52" s="20" t="s">
        <v>227</v>
      </c>
      <c r="O52" s="20" t="s">
        <v>228</v>
      </c>
      <c r="P52" s="14" t="s">
        <v>367</v>
      </c>
    </row>
    <row r="53" spans="1:16" ht="20.399999999999999" customHeight="1" x14ac:dyDescent="0.4">
      <c r="A53" s="1"/>
      <c r="B53" s="11">
        <f t="shared" si="0"/>
        <v>12</v>
      </c>
      <c r="C53" s="11">
        <f>SUM(D53:O53)</f>
        <v>5</v>
      </c>
      <c r="D53" s="20">
        <v>1</v>
      </c>
      <c r="E53" s="20">
        <v>1</v>
      </c>
      <c r="F53" s="20">
        <v>0</v>
      </c>
      <c r="G53" s="20">
        <v>1</v>
      </c>
      <c r="H53" s="20">
        <v>0</v>
      </c>
      <c r="I53" s="20">
        <v>0</v>
      </c>
      <c r="J53" s="20">
        <v>0</v>
      </c>
      <c r="K53" s="25">
        <v>1</v>
      </c>
      <c r="L53" s="20">
        <v>1</v>
      </c>
      <c r="M53" s="20">
        <v>0</v>
      </c>
      <c r="N53" s="20">
        <v>0</v>
      </c>
      <c r="O53" s="20">
        <v>0</v>
      </c>
      <c r="P53" s="2"/>
    </row>
    <row r="54" spans="1:16" s="5" customFormat="1" ht="33" customHeight="1" x14ac:dyDescent="0.4">
      <c r="A54" s="1">
        <v>46215.926842060187</v>
      </c>
      <c r="B54" s="1"/>
      <c r="C54" s="11">
        <v>6710553299</v>
      </c>
      <c r="D54" s="20" t="s">
        <v>59</v>
      </c>
      <c r="E54" s="20" t="s">
        <v>229</v>
      </c>
      <c r="F54" s="20" t="s">
        <v>230</v>
      </c>
      <c r="G54" s="20" t="s">
        <v>231</v>
      </c>
      <c r="H54" s="20" t="s">
        <v>232</v>
      </c>
      <c r="I54" s="20" t="s">
        <v>233</v>
      </c>
      <c r="J54" s="20" t="s">
        <v>234</v>
      </c>
      <c r="K54" s="25" t="s">
        <v>235</v>
      </c>
      <c r="L54" s="20" t="s">
        <v>236</v>
      </c>
      <c r="M54" s="20" t="s">
        <v>237</v>
      </c>
      <c r="N54" s="20" t="s">
        <v>238</v>
      </c>
      <c r="O54" s="20" t="s">
        <v>239</v>
      </c>
      <c r="P54" s="14" t="s">
        <v>368</v>
      </c>
    </row>
    <row r="55" spans="1:16" s="5" customFormat="1" ht="27.9" customHeight="1" x14ac:dyDescent="0.4">
      <c r="A55" s="1"/>
      <c r="B55" s="11">
        <f t="shared" si="0"/>
        <v>12</v>
      </c>
      <c r="C55" s="11">
        <f>SUM(D55:O55)</f>
        <v>8</v>
      </c>
      <c r="D55" s="20">
        <v>1</v>
      </c>
      <c r="E55" s="20">
        <v>1</v>
      </c>
      <c r="F55" s="20">
        <v>1</v>
      </c>
      <c r="G55" s="20">
        <v>1</v>
      </c>
      <c r="H55" s="20">
        <v>1</v>
      </c>
      <c r="I55" s="20">
        <v>1</v>
      </c>
      <c r="J55" s="20">
        <v>1</v>
      </c>
      <c r="K55" s="25">
        <v>1</v>
      </c>
      <c r="L55" s="20">
        <v>0</v>
      </c>
      <c r="M55" s="20">
        <v>0</v>
      </c>
      <c r="N55" s="20">
        <v>0</v>
      </c>
      <c r="O55" s="20">
        <v>0</v>
      </c>
      <c r="P55" s="2"/>
    </row>
    <row r="56" spans="1:16" s="5" customFormat="1" ht="27.9" customHeight="1" x14ac:dyDescent="0.4">
      <c r="A56" s="1">
        <v>46215.943864988425</v>
      </c>
      <c r="B56" s="1"/>
      <c r="C56" s="11">
        <v>6710553329</v>
      </c>
      <c r="D56" s="20" t="s">
        <v>27</v>
      </c>
      <c r="E56" s="20" t="s">
        <v>28</v>
      </c>
      <c r="F56" s="20" t="s">
        <v>185</v>
      </c>
      <c r="G56" s="20" t="s">
        <v>186</v>
      </c>
      <c r="H56" s="20" t="s">
        <v>187</v>
      </c>
      <c r="I56" s="20" t="s">
        <v>188</v>
      </c>
      <c r="J56" s="20" t="s">
        <v>240</v>
      </c>
      <c r="K56" s="25" t="s">
        <v>241</v>
      </c>
      <c r="L56" s="20" t="s">
        <v>242</v>
      </c>
      <c r="M56" s="19" t="s">
        <v>243</v>
      </c>
      <c r="N56" s="20" t="s">
        <v>244</v>
      </c>
      <c r="O56" s="19" t="s">
        <v>245</v>
      </c>
      <c r="P56" s="14" t="s">
        <v>369</v>
      </c>
    </row>
    <row r="57" spans="1:16" s="5" customFormat="1" ht="27.9" customHeight="1" x14ac:dyDescent="0.4">
      <c r="A57" s="1"/>
      <c r="B57" s="11">
        <f t="shared" si="0"/>
        <v>12</v>
      </c>
      <c r="C57" s="11">
        <f>SUM(D57:O57)</f>
        <v>8</v>
      </c>
      <c r="D57" s="20">
        <v>1</v>
      </c>
      <c r="E57" s="20">
        <v>1</v>
      </c>
      <c r="F57" s="20">
        <v>1</v>
      </c>
      <c r="G57" s="20">
        <v>1</v>
      </c>
      <c r="H57" s="20">
        <v>1</v>
      </c>
      <c r="I57" s="20">
        <v>1</v>
      </c>
      <c r="J57" s="20">
        <v>1</v>
      </c>
      <c r="K57" s="25">
        <v>1</v>
      </c>
      <c r="L57" s="20">
        <v>0</v>
      </c>
      <c r="M57" s="20">
        <v>0</v>
      </c>
      <c r="N57" s="20">
        <v>0</v>
      </c>
      <c r="O57" s="20">
        <v>0</v>
      </c>
      <c r="P57" s="2"/>
    </row>
    <row r="58" spans="1:16" s="5" customFormat="1" ht="27.9" customHeight="1" x14ac:dyDescent="0.4">
      <c r="A58" s="1">
        <v>46220.939239016203</v>
      </c>
      <c r="B58" s="1"/>
      <c r="C58" s="11">
        <v>6710553337</v>
      </c>
      <c r="D58" s="20" t="s">
        <v>27</v>
      </c>
      <c r="E58" s="20" t="s">
        <v>28</v>
      </c>
      <c r="F58" s="20" t="s">
        <v>246</v>
      </c>
      <c r="G58" s="19" t="s">
        <v>247</v>
      </c>
      <c r="H58" s="20" t="s">
        <v>246</v>
      </c>
      <c r="I58" s="19" t="s">
        <v>247</v>
      </c>
      <c r="J58" s="20" t="s">
        <v>248</v>
      </c>
      <c r="K58" s="25" t="s">
        <v>249</v>
      </c>
      <c r="L58" s="19" t="s">
        <v>250</v>
      </c>
      <c r="M58" s="19" t="s">
        <v>251</v>
      </c>
      <c r="N58" s="19" t="s">
        <v>252</v>
      </c>
      <c r="O58" s="19" t="s">
        <v>253</v>
      </c>
      <c r="P58" s="14" t="s">
        <v>370</v>
      </c>
    </row>
    <row r="59" spans="1:16" s="5" customFormat="1" ht="27.9" customHeight="1" x14ac:dyDescent="0.4">
      <c r="A59" s="1"/>
      <c r="B59" s="11">
        <f t="shared" si="0"/>
        <v>12</v>
      </c>
      <c r="C59" s="11">
        <f>SUM(D59:O59)</f>
        <v>10</v>
      </c>
      <c r="D59" s="20">
        <v>1</v>
      </c>
      <c r="E59" s="20">
        <v>1</v>
      </c>
      <c r="F59" s="20">
        <v>1</v>
      </c>
      <c r="G59" s="20">
        <v>1</v>
      </c>
      <c r="H59" s="20">
        <v>1</v>
      </c>
      <c r="I59" s="20">
        <v>1</v>
      </c>
      <c r="J59" s="20">
        <v>1</v>
      </c>
      <c r="K59" s="25">
        <v>1</v>
      </c>
      <c r="L59" s="20">
        <v>0</v>
      </c>
      <c r="M59" s="20">
        <v>1</v>
      </c>
      <c r="N59" s="20">
        <v>1</v>
      </c>
      <c r="O59" s="20">
        <v>0</v>
      </c>
      <c r="P59" s="2"/>
    </row>
    <row r="60" spans="1:16" s="5" customFormat="1" ht="27.9" customHeight="1" x14ac:dyDescent="0.4">
      <c r="A60" s="1">
        <v>46209.574315821759</v>
      </c>
      <c r="B60" s="1"/>
      <c r="C60" s="11">
        <v>6710553345</v>
      </c>
      <c r="D60" s="20" t="s">
        <v>56</v>
      </c>
      <c r="E60" s="20" t="s">
        <v>254</v>
      </c>
      <c r="F60" s="23" t="s">
        <v>185</v>
      </c>
      <c r="G60" s="23" t="s">
        <v>186</v>
      </c>
      <c r="H60" s="23" t="s">
        <v>187</v>
      </c>
      <c r="I60" s="23" t="s">
        <v>188</v>
      </c>
      <c r="J60" s="20">
        <v>0</v>
      </c>
      <c r="K60" s="25" t="s">
        <v>255</v>
      </c>
      <c r="L60" s="23">
        <v>0</v>
      </c>
      <c r="M60" s="23" t="s">
        <v>256</v>
      </c>
      <c r="N60" s="20" t="s">
        <v>257</v>
      </c>
      <c r="O60" s="20" t="s">
        <v>258</v>
      </c>
      <c r="P60" s="16" t="s">
        <v>371</v>
      </c>
    </row>
    <row r="61" spans="1:16" s="5" customFormat="1" ht="27.9" customHeight="1" x14ac:dyDescent="0.4">
      <c r="A61" s="1"/>
      <c r="B61" s="11">
        <f t="shared" si="0"/>
        <v>12</v>
      </c>
      <c r="C61" s="11">
        <f>SUM(D61:O61)</f>
        <v>10</v>
      </c>
      <c r="D61" s="20">
        <v>1</v>
      </c>
      <c r="E61" s="20">
        <v>1</v>
      </c>
      <c r="F61" s="23">
        <v>1</v>
      </c>
      <c r="G61" s="23">
        <v>1</v>
      </c>
      <c r="H61" s="23">
        <v>1</v>
      </c>
      <c r="I61" s="23">
        <v>1</v>
      </c>
      <c r="J61" s="20">
        <v>0</v>
      </c>
      <c r="K61" s="25">
        <v>1</v>
      </c>
      <c r="L61" s="24">
        <v>0</v>
      </c>
      <c r="M61" s="24">
        <v>1</v>
      </c>
      <c r="N61" s="24">
        <v>1</v>
      </c>
      <c r="O61" s="24">
        <v>1</v>
      </c>
      <c r="P61" s="2"/>
    </row>
    <row r="62" spans="1:16" s="5" customFormat="1" ht="27.9" customHeight="1" x14ac:dyDescent="0.4">
      <c r="A62" s="1">
        <v>46220.774222430555</v>
      </c>
      <c r="B62" s="1"/>
      <c r="C62" s="11">
        <v>6710553353</v>
      </c>
      <c r="D62" s="20" t="s">
        <v>163</v>
      </c>
      <c r="E62" s="20" t="s">
        <v>259</v>
      </c>
      <c r="F62" s="20" t="s">
        <v>138</v>
      </c>
      <c r="G62" s="20" t="s">
        <v>139</v>
      </c>
      <c r="H62" s="20" t="s">
        <v>140</v>
      </c>
      <c r="I62" s="20" t="s">
        <v>141</v>
      </c>
      <c r="J62" s="20">
        <v>0</v>
      </c>
      <c r="K62" s="25" t="s">
        <v>260</v>
      </c>
      <c r="L62" s="23" t="s">
        <v>261</v>
      </c>
      <c r="M62" s="23" t="s">
        <v>262</v>
      </c>
      <c r="N62" s="20" t="s">
        <v>263</v>
      </c>
      <c r="O62" s="20" t="s">
        <v>264</v>
      </c>
      <c r="P62" s="2" t="s">
        <v>26</v>
      </c>
    </row>
    <row r="63" spans="1:16" s="5" customFormat="1" ht="27.9" customHeight="1" x14ac:dyDescent="0.4">
      <c r="A63" s="1"/>
      <c r="B63" s="11">
        <f t="shared" si="0"/>
        <v>12</v>
      </c>
      <c r="C63" s="11">
        <f>SUM(D63:O63)</f>
        <v>11</v>
      </c>
      <c r="D63" s="20">
        <v>1</v>
      </c>
      <c r="E63" s="20">
        <v>1</v>
      </c>
      <c r="F63" s="20">
        <v>1</v>
      </c>
      <c r="G63" s="20">
        <v>1</v>
      </c>
      <c r="H63" s="20">
        <v>1</v>
      </c>
      <c r="I63" s="20">
        <v>1</v>
      </c>
      <c r="J63" s="20">
        <v>0</v>
      </c>
      <c r="K63" s="25">
        <v>1</v>
      </c>
      <c r="L63" s="20">
        <v>1</v>
      </c>
      <c r="M63" s="20">
        <v>1</v>
      </c>
      <c r="N63" s="20">
        <v>1</v>
      </c>
      <c r="O63" s="20">
        <v>1</v>
      </c>
      <c r="P63" s="2"/>
    </row>
    <row r="64" spans="1:16" s="5" customFormat="1" ht="27.9" customHeight="1" x14ac:dyDescent="0.4">
      <c r="A64" s="1">
        <v>46211.48486232639</v>
      </c>
      <c r="B64" s="1"/>
      <c r="C64" s="11">
        <v>6710553361</v>
      </c>
      <c r="D64" s="20" t="s">
        <v>27</v>
      </c>
      <c r="E64" s="20" t="s">
        <v>265</v>
      </c>
      <c r="F64" s="20" t="s">
        <v>230</v>
      </c>
      <c r="G64" s="20" t="s">
        <v>231</v>
      </c>
      <c r="H64" s="20" t="s">
        <v>232</v>
      </c>
      <c r="I64" s="20" t="s">
        <v>233</v>
      </c>
      <c r="J64" s="20" t="s">
        <v>266</v>
      </c>
      <c r="K64" s="25" t="s">
        <v>267</v>
      </c>
      <c r="L64" s="24" t="s">
        <v>268</v>
      </c>
      <c r="M64" s="24" t="s">
        <v>269</v>
      </c>
      <c r="N64" s="20" t="s">
        <v>270</v>
      </c>
      <c r="O64" s="20" t="s">
        <v>271</v>
      </c>
      <c r="P64" s="14" t="s">
        <v>372</v>
      </c>
    </row>
    <row r="65" spans="1:16" s="5" customFormat="1" ht="27.9" customHeight="1" x14ac:dyDescent="0.4">
      <c r="A65" s="1"/>
      <c r="B65" s="11">
        <f t="shared" si="0"/>
        <v>12</v>
      </c>
      <c r="C65" s="11">
        <f>SUM(D65:O65)</f>
        <v>11</v>
      </c>
      <c r="D65" s="20">
        <v>1</v>
      </c>
      <c r="E65" s="20">
        <v>1</v>
      </c>
      <c r="F65" s="20">
        <v>1</v>
      </c>
      <c r="G65" s="20">
        <v>1</v>
      </c>
      <c r="H65" s="20">
        <v>1</v>
      </c>
      <c r="I65" s="20">
        <v>1</v>
      </c>
      <c r="J65" s="20">
        <v>1</v>
      </c>
      <c r="K65" s="25">
        <v>1</v>
      </c>
      <c r="L65" s="24">
        <v>1</v>
      </c>
      <c r="M65" s="24">
        <v>0</v>
      </c>
      <c r="N65" s="20">
        <v>1</v>
      </c>
      <c r="O65" s="20">
        <v>1</v>
      </c>
      <c r="P65" s="2"/>
    </row>
    <row r="66" spans="1:16" s="5" customFormat="1" ht="27.9" customHeight="1" x14ac:dyDescent="0.4">
      <c r="A66" s="1">
        <v>46209.658291504631</v>
      </c>
      <c r="B66" s="1"/>
      <c r="C66" s="11">
        <v>6710553370</v>
      </c>
      <c r="D66" s="20" t="s">
        <v>272</v>
      </c>
      <c r="E66" s="20" t="s">
        <v>273</v>
      </c>
      <c r="F66" s="20" t="s">
        <v>138</v>
      </c>
      <c r="G66" s="20" t="s">
        <v>139</v>
      </c>
      <c r="H66" s="20" t="s">
        <v>140</v>
      </c>
      <c r="I66" s="20" t="s">
        <v>141</v>
      </c>
      <c r="J66" s="20">
        <v>0</v>
      </c>
      <c r="K66" s="25" t="s">
        <v>274</v>
      </c>
      <c r="L66" s="20" t="s">
        <v>275</v>
      </c>
      <c r="M66" s="20" t="s">
        <v>276</v>
      </c>
      <c r="N66" s="20" t="s">
        <v>277</v>
      </c>
      <c r="O66" s="20" t="s">
        <v>278</v>
      </c>
      <c r="P66" s="14" t="s">
        <v>373</v>
      </c>
    </row>
    <row r="67" spans="1:16" s="5" customFormat="1" ht="27.9" customHeight="1" x14ac:dyDescent="0.4">
      <c r="A67" s="1"/>
      <c r="B67" s="11">
        <f t="shared" ref="B67:B71" si="1">COUNT(D67:O67)</f>
        <v>12</v>
      </c>
      <c r="C67" s="11">
        <f>SUM(D67:O67)</f>
        <v>7</v>
      </c>
      <c r="D67" s="20">
        <v>1</v>
      </c>
      <c r="E67" s="20">
        <v>1</v>
      </c>
      <c r="F67" s="20">
        <v>1</v>
      </c>
      <c r="G67" s="20">
        <v>1</v>
      </c>
      <c r="H67" s="20">
        <v>1</v>
      </c>
      <c r="I67" s="20">
        <v>1</v>
      </c>
      <c r="J67" s="20">
        <v>0</v>
      </c>
      <c r="K67" s="25">
        <v>1</v>
      </c>
      <c r="L67" s="20">
        <v>0</v>
      </c>
      <c r="M67" s="20">
        <v>0</v>
      </c>
      <c r="N67" s="20">
        <v>0</v>
      </c>
      <c r="O67" s="20">
        <v>0</v>
      </c>
      <c r="P67" s="2"/>
    </row>
    <row r="68" spans="1:16" s="5" customFormat="1" ht="27.9" customHeight="1" x14ac:dyDescent="0.4">
      <c r="A68" s="1">
        <v>46216.451204467594</v>
      </c>
      <c r="B68" s="1"/>
      <c r="C68" s="11">
        <v>6710553388</v>
      </c>
      <c r="D68" s="20" t="s">
        <v>279</v>
      </c>
      <c r="E68" s="20" t="s">
        <v>280</v>
      </c>
      <c r="F68" s="20" t="s">
        <v>281</v>
      </c>
      <c r="G68" s="20" t="s">
        <v>282</v>
      </c>
      <c r="H68" s="20" t="s">
        <v>283</v>
      </c>
      <c r="I68" s="20" t="s">
        <v>284</v>
      </c>
      <c r="J68" s="20" t="s">
        <v>285</v>
      </c>
      <c r="K68" s="25" t="s">
        <v>286</v>
      </c>
      <c r="L68" s="20">
        <v>6888994.2769999998</v>
      </c>
      <c r="M68" s="20">
        <v>6893389.1270000003</v>
      </c>
      <c r="N68" s="20">
        <v>324.70824399999998</v>
      </c>
      <c r="O68" s="20">
        <v>280.48848500000003</v>
      </c>
      <c r="P68" s="2" t="s">
        <v>26</v>
      </c>
    </row>
    <row r="69" spans="1:16" s="5" customFormat="1" ht="27.9" customHeight="1" x14ac:dyDescent="0.4">
      <c r="A69" s="1"/>
      <c r="B69" s="11">
        <f t="shared" si="1"/>
        <v>12</v>
      </c>
      <c r="C69" s="11">
        <f>SUM(D69:O69)</f>
        <v>12</v>
      </c>
      <c r="D69" s="20">
        <v>1</v>
      </c>
      <c r="E69" s="20">
        <v>1</v>
      </c>
      <c r="F69" s="20">
        <v>1</v>
      </c>
      <c r="G69" s="20">
        <v>1</v>
      </c>
      <c r="H69" s="20">
        <v>1</v>
      </c>
      <c r="I69" s="20">
        <v>1</v>
      </c>
      <c r="J69" s="20">
        <v>1</v>
      </c>
      <c r="K69" s="25">
        <v>1</v>
      </c>
      <c r="L69" s="20">
        <v>1</v>
      </c>
      <c r="M69" s="20">
        <v>1</v>
      </c>
      <c r="N69" s="20">
        <v>1</v>
      </c>
      <c r="O69" s="20">
        <v>1</v>
      </c>
      <c r="P69" s="2"/>
    </row>
    <row r="70" spans="1:16" s="5" customFormat="1" ht="27.9" customHeight="1" x14ac:dyDescent="0.4">
      <c r="A70" s="3">
        <v>46220.89032791667</v>
      </c>
      <c r="B70" s="1"/>
      <c r="C70" s="11">
        <v>6710553396</v>
      </c>
      <c r="D70" s="26" t="s">
        <v>287</v>
      </c>
      <c r="E70" s="26" t="s">
        <v>288</v>
      </c>
      <c r="F70" s="26" t="s">
        <v>70</v>
      </c>
      <c r="G70" s="26" t="s">
        <v>71</v>
      </c>
      <c r="H70" s="26" t="s">
        <v>72</v>
      </c>
      <c r="I70" s="26" t="s">
        <v>73</v>
      </c>
      <c r="J70" s="26" t="s">
        <v>289</v>
      </c>
      <c r="K70" s="27" t="s">
        <v>290</v>
      </c>
      <c r="L70" s="28" t="s">
        <v>291</v>
      </c>
      <c r="M70" s="26" t="s">
        <v>292</v>
      </c>
      <c r="N70" s="26" t="s">
        <v>293</v>
      </c>
      <c r="O70" s="26" t="s">
        <v>294</v>
      </c>
      <c r="P70" s="14" t="s">
        <v>374</v>
      </c>
    </row>
    <row r="71" spans="1:16" s="5" customFormat="1" ht="27.9" customHeight="1" x14ac:dyDescent="0.4">
      <c r="A71" s="3"/>
      <c r="B71" s="11">
        <f t="shared" si="1"/>
        <v>12</v>
      </c>
      <c r="C71" s="11">
        <f>SUM(D71:O71)</f>
        <v>8</v>
      </c>
      <c r="D71" s="26">
        <v>1</v>
      </c>
      <c r="E71" s="26">
        <v>1</v>
      </c>
      <c r="F71" s="26">
        <v>0.5</v>
      </c>
      <c r="G71" s="26">
        <v>0.5</v>
      </c>
      <c r="H71" s="26">
        <v>0.5</v>
      </c>
      <c r="I71" s="26">
        <v>0.5</v>
      </c>
      <c r="J71" s="26">
        <v>1</v>
      </c>
      <c r="K71" s="27">
        <v>1</v>
      </c>
      <c r="L71" s="26">
        <v>0</v>
      </c>
      <c r="M71" s="26">
        <v>0</v>
      </c>
      <c r="N71" s="26">
        <v>1</v>
      </c>
      <c r="O71" s="26">
        <v>1</v>
      </c>
      <c r="P71" s="4"/>
    </row>
    <row r="72" spans="1:16" s="5" customFormat="1" ht="9" customHeight="1" x14ac:dyDescent="0.4">
      <c r="A72" s="3"/>
      <c r="B72" s="3"/>
      <c r="C72" s="12"/>
      <c r="D72" s="26"/>
      <c r="E72" s="26"/>
      <c r="F72" s="26"/>
      <c r="G72" s="26"/>
      <c r="H72" s="26"/>
      <c r="I72" s="26"/>
      <c r="J72" s="26"/>
      <c r="K72" s="27"/>
      <c r="L72" s="26"/>
      <c r="M72" s="26"/>
      <c r="N72" s="26"/>
      <c r="O72" s="26"/>
      <c r="P72" s="4"/>
    </row>
    <row r="73" spans="1:16" s="5" customFormat="1" ht="9" customHeight="1" x14ac:dyDescent="0.4">
      <c r="A73" s="3"/>
      <c r="B73" s="3"/>
      <c r="C73" s="12"/>
      <c r="D73" s="26"/>
      <c r="E73" s="26"/>
      <c r="F73" s="26"/>
      <c r="G73" s="26"/>
      <c r="H73" s="26"/>
      <c r="I73" s="26"/>
      <c r="J73" s="26"/>
      <c r="K73" s="27"/>
      <c r="L73" s="26"/>
      <c r="M73" s="26"/>
      <c r="N73" s="26"/>
      <c r="O73" s="26"/>
      <c r="P73" s="4"/>
    </row>
    <row r="74" spans="1:16" s="5" customFormat="1" ht="9" customHeight="1" x14ac:dyDescent="0.4">
      <c r="A74" s="3"/>
      <c r="B74" s="3"/>
      <c r="C74" s="12"/>
      <c r="D74" s="26"/>
      <c r="E74" s="26"/>
      <c r="F74" s="26"/>
      <c r="G74" s="26"/>
      <c r="H74" s="26"/>
      <c r="I74" s="26"/>
      <c r="J74" s="26"/>
      <c r="K74" s="27"/>
      <c r="L74" s="26"/>
      <c r="M74" s="26"/>
      <c r="N74" s="26"/>
      <c r="O74" s="26"/>
      <c r="P74" s="4"/>
    </row>
    <row r="75" spans="1:16" x14ac:dyDescent="0.4">
      <c r="A75" s="3"/>
      <c r="B75" s="3"/>
      <c r="C75" s="12"/>
      <c r="D75" s="26"/>
      <c r="E75" s="26"/>
      <c r="F75" s="26"/>
      <c r="G75" s="26"/>
      <c r="H75" s="26"/>
      <c r="I75" s="26"/>
      <c r="J75" s="26"/>
      <c r="K75" s="27"/>
      <c r="L75" s="26"/>
      <c r="M75" s="26"/>
      <c r="N75" s="26"/>
      <c r="O75" s="26"/>
      <c r="P75" s="4"/>
    </row>
    <row r="76" spans="1:16" x14ac:dyDescent="0.4">
      <c r="A76" s="3"/>
      <c r="B76" s="3"/>
      <c r="C76" s="12"/>
      <c r="D76" s="26"/>
      <c r="E76" s="26"/>
      <c r="F76" s="26"/>
      <c r="G76" s="26"/>
      <c r="H76" s="26"/>
      <c r="I76" s="26"/>
      <c r="J76" s="26"/>
      <c r="K76" s="27"/>
      <c r="L76" s="26"/>
      <c r="M76" s="26"/>
      <c r="N76" s="26"/>
      <c r="O76" s="26"/>
      <c r="P76" s="4"/>
    </row>
    <row r="77" spans="1:16" x14ac:dyDescent="0.4">
      <c r="A77" s="3"/>
      <c r="B77" s="3"/>
      <c r="C77" s="12"/>
      <c r="D77" s="26"/>
      <c r="E77" s="26"/>
      <c r="F77" s="26"/>
      <c r="G77" s="26"/>
      <c r="H77" s="26"/>
      <c r="I77" s="26"/>
      <c r="J77" s="26"/>
      <c r="K77" s="27"/>
      <c r="L77" s="26"/>
      <c r="M77" s="26"/>
      <c r="N77" s="26"/>
      <c r="O77" s="26"/>
      <c r="P77" s="4"/>
    </row>
    <row r="78" spans="1:16" x14ac:dyDescent="0.4">
      <c r="A78" s="3"/>
      <c r="B78" s="3"/>
      <c r="C78" s="12"/>
      <c r="D78" s="26"/>
      <c r="E78" s="26"/>
      <c r="F78" s="26"/>
      <c r="G78" s="26"/>
      <c r="H78" s="26"/>
      <c r="I78" s="26"/>
      <c r="J78" s="26"/>
      <c r="K78" s="27"/>
      <c r="L78" s="26"/>
      <c r="M78" s="26"/>
      <c r="N78" s="26"/>
      <c r="O78" s="26"/>
      <c r="P78" s="4"/>
    </row>
    <row r="79" spans="1:16" x14ac:dyDescent="0.4">
      <c r="A79" s="3"/>
      <c r="B79" s="3"/>
      <c r="C79" s="12"/>
      <c r="D79" s="26"/>
      <c r="E79" s="26"/>
      <c r="F79" s="26"/>
      <c r="G79" s="26"/>
      <c r="H79" s="26"/>
      <c r="I79" s="26"/>
      <c r="J79" s="26"/>
      <c r="K79" s="27"/>
      <c r="L79" s="26"/>
      <c r="M79" s="26"/>
      <c r="N79" s="26"/>
      <c r="O79" s="26"/>
      <c r="P79" s="4"/>
    </row>
    <row r="80" spans="1:16" x14ac:dyDescent="0.4">
      <c r="A80" s="3"/>
      <c r="B80" s="3"/>
      <c r="C80" s="12"/>
      <c r="D80" s="26"/>
      <c r="E80" s="26"/>
      <c r="F80" s="26"/>
      <c r="G80" s="26"/>
      <c r="H80" s="26"/>
      <c r="I80" s="26"/>
      <c r="J80" s="26"/>
      <c r="K80" s="27"/>
      <c r="L80" s="26"/>
      <c r="M80" s="26"/>
      <c r="N80" s="26"/>
      <c r="O80" s="26"/>
      <c r="P80" s="4"/>
    </row>
    <row r="81" spans="1:16" x14ac:dyDescent="0.4">
      <c r="A81" s="3"/>
      <c r="B81" s="3"/>
      <c r="C81" s="12"/>
      <c r="D81" s="26"/>
      <c r="E81" s="26"/>
      <c r="F81" s="26"/>
      <c r="G81" s="29"/>
      <c r="H81" s="29"/>
      <c r="I81" s="29"/>
      <c r="J81" s="29"/>
      <c r="K81" s="27"/>
      <c r="L81" s="26"/>
      <c r="M81" s="26"/>
      <c r="N81" s="26"/>
      <c r="O81" s="26"/>
      <c r="P81" s="4"/>
    </row>
    <row r="82" spans="1:16" x14ac:dyDescent="0.4">
      <c r="A82" s="3"/>
      <c r="B82" s="3"/>
      <c r="C82" s="12"/>
      <c r="D82" s="26"/>
      <c r="E82" s="26"/>
      <c r="F82" s="26"/>
      <c r="G82" s="26"/>
      <c r="H82" s="26"/>
      <c r="I82" s="26"/>
      <c r="J82" s="26"/>
      <c r="K82" s="27"/>
      <c r="L82" s="26"/>
      <c r="M82" s="26"/>
      <c r="N82" s="26"/>
      <c r="O82" s="26"/>
      <c r="P82" s="4"/>
    </row>
  </sheetData>
  <conditionalFormatting sqref="A1:XFD1048576">
    <cfRule type="cellIs" dxfId="1" priority="1" operator="between">
      <formula>0</formula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"/>
  <sheetViews>
    <sheetView workbookViewId="0">
      <selection activeCell="D19" sqref="D19"/>
    </sheetView>
  </sheetViews>
  <sheetFormatPr defaultRowHeight="12.3" x14ac:dyDescent="0.4"/>
  <cols>
    <col min="1" max="1" width="15.33203125" customWidth="1"/>
    <col min="2" max="2" width="15.71875" customWidth="1"/>
    <col min="3" max="15" width="24" customWidth="1"/>
  </cols>
  <sheetData>
    <row r="1" spans="1:15" ht="27" customHeight="1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 ht="27" customHeight="1" x14ac:dyDescent="0.4">
      <c r="A2" s="8">
        <v>46215.774573946765</v>
      </c>
      <c r="B2" s="9">
        <v>6610554161</v>
      </c>
      <c r="C2" s="8" t="s">
        <v>56</v>
      </c>
      <c r="D2" s="8" t="s">
        <v>57</v>
      </c>
      <c r="E2" s="8" t="s">
        <v>295</v>
      </c>
      <c r="F2" s="8" t="s">
        <v>296</v>
      </c>
      <c r="G2" s="8" t="s">
        <v>297</v>
      </c>
      <c r="H2" s="8" t="s">
        <v>109</v>
      </c>
      <c r="I2" s="8" t="s">
        <v>102</v>
      </c>
      <c r="J2" s="8" t="s">
        <v>298</v>
      </c>
      <c r="K2" s="8" t="s">
        <v>299</v>
      </c>
      <c r="L2" s="8" t="s">
        <v>300</v>
      </c>
      <c r="M2" s="8" t="s">
        <v>301</v>
      </c>
      <c r="N2" s="8" t="s">
        <v>302</v>
      </c>
      <c r="O2" s="8" t="s">
        <v>26</v>
      </c>
    </row>
    <row r="3" spans="1:15" ht="27" customHeight="1" x14ac:dyDescent="0.4">
      <c r="A3" s="8">
        <v>46214.683960752314</v>
      </c>
      <c r="B3" s="9">
        <v>6710552951</v>
      </c>
      <c r="C3" s="8" t="s">
        <v>303</v>
      </c>
      <c r="D3" s="8" t="s">
        <v>304</v>
      </c>
      <c r="E3" s="8">
        <v>6351377.1040000003</v>
      </c>
      <c r="F3" s="8">
        <v>6383453.8569999998</v>
      </c>
      <c r="G3" s="8">
        <v>6383480.9179999996</v>
      </c>
      <c r="H3" s="8">
        <v>6394209.1739999996</v>
      </c>
      <c r="I3" s="8" t="s">
        <v>305</v>
      </c>
      <c r="J3" s="8" t="s">
        <v>306</v>
      </c>
      <c r="K3" s="8" t="s">
        <v>307</v>
      </c>
      <c r="L3" s="8" t="s">
        <v>308</v>
      </c>
      <c r="M3" s="8" t="s">
        <v>78</v>
      </c>
      <c r="N3" s="8" t="s">
        <v>79</v>
      </c>
      <c r="O3" s="8" t="s">
        <v>26</v>
      </c>
    </row>
    <row r="4" spans="1:15" ht="27" customHeight="1" x14ac:dyDescent="0.4">
      <c r="A4" s="8">
        <v>46213.439507881943</v>
      </c>
      <c r="B4" s="9">
        <v>6710553027</v>
      </c>
      <c r="C4" s="8" t="s">
        <v>309</v>
      </c>
      <c r="D4" s="8" t="s">
        <v>310</v>
      </c>
      <c r="E4" s="8">
        <v>6344270.0470000003</v>
      </c>
      <c r="F4" s="8">
        <v>6376310.9079999998</v>
      </c>
      <c r="G4" s="8">
        <v>6376337.9380000001</v>
      </c>
      <c r="H4" s="8">
        <v>6387054.1890000002</v>
      </c>
      <c r="I4" s="8" t="s">
        <v>311</v>
      </c>
      <c r="J4" s="8" t="s">
        <v>312</v>
      </c>
      <c r="K4" s="8">
        <v>9083400.9499999993</v>
      </c>
      <c r="L4" s="8">
        <v>9084398.0889999997</v>
      </c>
      <c r="M4" s="8">
        <v>311.17559999999997</v>
      </c>
      <c r="N4" s="8">
        <v>86.5197</v>
      </c>
      <c r="O4" s="8" t="s">
        <v>26</v>
      </c>
    </row>
    <row r="5" spans="1:15" ht="27" customHeight="1" x14ac:dyDescent="0.4">
      <c r="A5" s="8">
        <v>46211.711796898147</v>
      </c>
      <c r="B5" s="9">
        <v>6710553108</v>
      </c>
      <c r="C5" s="8" t="s">
        <v>163</v>
      </c>
      <c r="D5" s="8" t="s">
        <v>91</v>
      </c>
      <c r="E5" s="8">
        <v>6351377.1040000003</v>
      </c>
      <c r="F5" s="8">
        <v>6383453.8569999998</v>
      </c>
      <c r="G5" s="8">
        <v>6383480.9179999996</v>
      </c>
      <c r="H5" s="8">
        <v>6394209.1739999996</v>
      </c>
      <c r="I5" s="8" t="s">
        <v>168</v>
      </c>
      <c r="J5" s="8" t="s">
        <v>313</v>
      </c>
      <c r="K5" s="8">
        <v>7104610</v>
      </c>
      <c r="L5" s="8">
        <v>7106470</v>
      </c>
      <c r="M5" s="8" t="s">
        <v>169</v>
      </c>
      <c r="N5" s="8" t="s">
        <v>170</v>
      </c>
      <c r="O5" s="8" t="s">
        <v>26</v>
      </c>
    </row>
    <row r="6" spans="1:15" ht="27" customHeight="1" x14ac:dyDescent="0.4">
      <c r="A6" s="8">
        <v>46208.62854513889</v>
      </c>
      <c r="B6" s="9">
        <v>6710553124</v>
      </c>
      <c r="C6" s="8" t="s">
        <v>314</v>
      </c>
      <c r="D6" s="8" t="s">
        <v>315</v>
      </c>
      <c r="E6" s="8" t="s">
        <v>173</v>
      </c>
      <c r="F6" s="8" t="s">
        <v>174</v>
      </c>
      <c r="G6" s="8" t="s">
        <v>175</v>
      </c>
      <c r="H6" s="8" t="s">
        <v>176</v>
      </c>
      <c r="I6" s="8" t="s">
        <v>316</v>
      </c>
      <c r="J6" s="8" t="s">
        <v>317</v>
      </c>
      <c r="K6" s="8" t="s">
        <v>318</v>
      </c>
      <c r="L6" s="8" t="s">
        <v>319</v>
      </c>
      <c r="M6" s="8" t="s">
        <v>320</v>
      </c>
      <c r="N6" s="8" t="s">
        <v>321</v>
      </c>
      <c r="O6" s="8" t="s">
        <v>26</v>
      </c>
    </row>
    <row r="7" spans="1:15" ht="27" customHeight="1" x14ac:dyDescent="0.4">
      <c r="A7" s="8">
        <v>46208.902886689815</v>
      </c>
      <c r="B7" s="9">
        <v>6710553205</v>
      </c>
      <c r="C7" s="8" t="s">
        <v>56</v>
      </c>
      <c r="D7" s="8" t="s">
        <v>57</v>
      </c>
      <c r="E7" s="8">
        <v>6351377.1040000003</v>
      </c>
      <c r="F7" s="8">
        <v>6383453.8569999998</v>
      </c>
      <c r="G7" s="8">
        <v>6383480.9179999996</v>
      </c>
      <c r="H7" s="8">
        <v>6394209.1739999996</v>
      </c>
      <c r="I7" s="8">
        <v>0</v>
      </c>
      <c r="J7" s="8" t="s">
        <v>322</v>
      </c>
      <c r="K7" s="8">
        <v>8999470</v>
      </c>
      <c r="L7" s="8">
        <v>9008964.091</v>
      </c>
      <c r="M7" s="8">
        <v>-40.610712096999997</v>
      </c>
      <c r="N7" s="8">
        <v>-100.628636543</v>
      </c>
      <c r="O7" s="8" t="s">
        <v>26</v>
      </c>
    </row>
    <row r="8" spans="1:15" ht="27" customHeight="1" x14ac:dyDescent="0.4">
      <c r="A8" s="8">
        <v>46209.573012361114</v>
      </c>
      <c r="B8" s="9">
        <v>6710553264</v>
      </c>
      <c r="C8" s="8" t="s">
        <v>56</v>
      </c>
      <c r="D8" s="8" t="s">
        <v>57</v>
      </c>
      <c r="E8" s="8" t="s">
        <v>185</v>
      </c>
      <c r="F8" s="8" t="s">
        <v>61</v>
      </c>
      <c r="G8" s="8" t="s">
        <v>62</v>
      </c>
      <c r="H8" s="8" t="s">
        <v>63</v>
      </c>
      <c r="I8" s="8">
        <v>0</v>
      </c>
      <c r="J8" s="8" t="s">
        <v>323</v>
      </c>
      <c r="K8" s="8" t="s">
        <v>324</v>
      </c>
      <c r="L8" s="8" t="s">
        <v>325</v>
      </c>
      <c r="M8" s="8" t="s">
        <v>326</v>
      </c>
      <c r="N8" s="8" t="s">
        <v>327</v>
      </c>
      <c r="O8" s="8" t="s">
        <v>26</v>
      </c>
    </row>
    <row r="9" spans="1:15" ht="27" customHeight="1" x14ac:dyDescent="0.4">
      <c r="A9" s="8">
        <v>46208.960365266204</v>
      </c>
      <c r="B9" s="9">
        <v>6710553281</v>
      </c>
      <c r="C9" s="8" t="s">
        <v>328</v>
      </c>
      <c r="D9" s="8" t="s">
        <v>329</v>
      </c>
      <c r="E9" s="8">
        <v>6351377.1040000003</v>
      </c>
      <c r="F9" s="8">
        <v>6383453.8569999998</v>
      </c>
      <c r="G9" s="8">
        <v>6383480.9179999996</v>
      </c>
      <c r="H9" s="8">
        <v>6394209.1739999996</v>
      </c>
      <c r="I9" s="8">
        <v>0</v>
      </c>
      <c r="J9" s="8" t="s">
        <v>330</v>
      </c>
      <c r="K9" s="8" t="s">
        <v>331</v>
      </c>
      <c r="L9" s="8" t="s">
        <v>332</v>
      </c>
      <c r="M9" s="8" t="s">
        <v>333</v>
      </c>
      <c r="N9" s="8" t="s">
        <v>334</v>
      </c>
      <c r="O9" s="8" t="s">
        <v>26</v>
      </c>
    </row>
    <row r="10" spans="1:15" ht="27" customHeight="1" x14ac:dyDescent="0.4">
      <c r="A10" s="8">
        <v>46211.890582488428</v>
      </c>
      <c r="B10" s="9">
        <v>6710553299</v>
      </c>
      <c r="C10" s="8" t="s">
        <v>335</v>
      </c>
      <c r="D10" s="8" t="s">
        <v>137</v>
      </c>
      <c r="E10" s="8">
        <v>6351377.1040000003</v>
      </c>
      <c r="F10" s="8">
        <v>6383453.8569999998</v>
      </c>
      <c r="G10" s="8">
        <v>6383480.9179999996</v>
      </c>
      <c r="H10" s="8">
        <v>6394209.1739999996</v>
      </c>
      <c r="I10" s="8" t="s">
        <v>305</v>
      </c>
      <c r="J10" s="8" t="s">
        <v>336</v>
      </c>
      <c r="K10" s="8">
        <v>8720.0249999999996</v>
      </c>
      <c r="L10" s="8">
        <v>8731.0300000000007</v>
      </c>
      <c r="M10" s="8" t="s">
        <v>337</v>
      </c>
      <c r="N10" s="8" t="s">
        <v>338</v>
      </c>
      <c r="O10" s="8" t="s">
        <v>26</v>
      </c>
    </row>
    <row r="11" spans="1:15" ht="27" customHeight="1" x14ac:dyDescent="0.4">
      <c r="A11" s="8">
        <v>46209.023324618058</v>
      </c>
      <c r="B11" s="9">
        <v>6710553337</v>
      </c>
      <c r="C11" s="8" t="s">
        <v>27</v>
      </c>
      <c r="D11" s="8" t="s">
        <v>339</v>
      </c>
      <c r="E11" s="8" t="s">
        <v>340</v>
      </c>
      <c r="F11" s="8" t="s">
        <v>341</v>
      </c>
      <c r="G11" s="8" t="s">
        <v>340</v>
      </c>
      <c r="H11" s="8" t="s">
        <v>341</v>
      </c>
      <c r="I11" s="8" t="s">
        <v>342</v>
      </c>
      <c r="J11" s="8" t="s">
        <v>343</v>
      </c>
      <c r="K11" s="8" t="s">
        <v>344</v>
      </c>
      <c r="L11" s="8" t="s">
        <v>345</v>
      </c>
      <c r="M11" s="8" t="s">
        <v>346</v>
      </c>
      <c r="N11" s="8" t="s">
        <v>347</v>
      </c>
      <c r="O11" s="8" t="s">
        <v>26</v>
      </c>
    </row>
    <row r="12" spans="1:15" ht="27" customHeight="1" x14ac:dyDescent="0.4">
      <c r="A12" s="8">
        <v>46209.601252939814</v>
      </c>
      <c r="B12" s="9">
        <v>6710553353</v>
      </c>
      <c r="C12" s="8" t="s">
        <v>163</v>
      </c>
      <c r="D12" s="8" t="s">
        <v>28</v>
      </c>
      <c r="E12" s="8">
        <v>6335444.6399999997</v>
      </c>
      <c r="F12" s="8">
        <v>6335460.5769999996</v>
      </c>
      <c r="G12" s="8">
        <v>6378138.7829999998</v>
      </c>
      <c r="H12" s="8">
        <v>6378144.1310000001</v>
      </c>
      <c r="I12" s="8">
        <v>0</v>
      </c>
      <c r="J12" s="8" t="s">
        <v>348</v>
      </c>
      <c r="K12" s="8" t="s">
        <v>261</v>
      </c>
      <c r="L12" s="8" t="s">
        <v>349</v>
      </c>
      <c r="M12" s="8" t="s">
        <v>263</v>
      </c>
      <c r="N12" s="8" t="s">
        <v>264</v>
      </c>
      <c r="O12" s="8" t="s">
        <v>26</v>
      </c>
    </row>
    <row r="13" spans="1:15" ht="27" customHeight="1" x14ac:dyDescent="0.4">
      <c r="A13" s="8">
        <v>46211.767640162041</v>
      </c>
      <c r="B13" s="9">
        <v>6710553396</v>
      </c>
      <c r="C13" s="8" t="s">
        <v>136</v>
      </c>
      <c r="D13" s="8" t="s">
        <v>137</v>
      </c>
      <c r="E13" s="8">
        <v>6351377.1040000003</v>
      </c>
      <c r="F13" s="8">
        <v>6383453.8569999998</v>
      </c>
      <c r="G13" s="8">
        <v>6383480.9179999996</v>
      </c>
      <c r="H13" s="8">
        <v>6394209.1739999996</v>
      </c>
      <c r="I13" s="8" t="s">
        <v>305</v>
      </c>
      <c r="J13" s="8" t="s">
        <v>350</v>
      </c>
      <c r="K13" s="8">
        <v>9668237</v>
      </c>
      <c r="L13" s="8">
        <v>9682136</v>
      </c>
      <c r="M13" s="8" t="s">
        <v>351</v>
      </c>
      <c r="N13" s="8" t="s">
        <v>352</v>
      </c>
      <c r="O13" s="8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Repeating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PHISAN SANTITAMNONT</cp:lastModifiedBy>
  <dcterms:modified xsi:type="dcterms:W3CDTF">2026-07-19T04:20:09Z</dcterms:modified>
</cp:coreProperties>
</file>